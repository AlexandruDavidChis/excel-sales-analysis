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24226"/>
  <mc:AlternateContent xmlns:mc="http://schemas.openxmlformats.org/markup-compatibility/2006">
    <mc:Choice Requires="x15">
      <x15ac:absPath xmlns:x15ac="http://schemas.microsoft.com/office/spreadsheetml/2010/11/ac" url="C:\Users\adria\Desktop\"/>
    </mc:Choice>
  </mc:AlternateContent>
  <xr:revisionPtr revIDLastSave="0" documentId="13_ncr:1_{0D76448F-9C6C-4371-AFC2-1A06636D37D6}" xr6:coauthVersionLast="47" xr6:coauthVersionMax="47" xr10:uidLastSave="{00000000-0000-0000-0000-000000000000}"/>
  <bookViews>
    <workbookView xWindow="-120" yWindow="-120" windowWidth="29040" windowHeight="15720" tabRatio="613" xr2:uid="{00000000-000D-0000-FFFF-FFFF00000000}"/>
  </bookViews>
  <sheets>
    <sheet name="Dashboard" sheetId="22" r:id="rId1"/>
    <sheet name="Interpretari" sheetId="14" r:id="rId2"/>
    <sheet name="Vanzari lunare" sheetId="19" r:id="rId3"/>
    <sheet name="Vanzari per regiune" sheetId="18" r:id="rId4"/>
    <sheet name="Top 4 clienti" sheetId="21" r:id="rId5"/>
    <sheet name="Vanzari totale per produs" sheetId="20" r:id="rId6"/>
    <sheet name="Analiza vanzari" sheetId="1" r:id="rId7"/>
  </sheets>
  <definedNames>
    <definedName name="_xlnm._FilterDatabase" localSheetId="4" hidden="1">'Top 4 clienti'!$H$9:$I$12</definedName>
    <definedName name="_xlnm._FilterDatabase" localSheetId="2" hidden="1">'Vanzari lunare'!$H$9:$H$20</definedName>
    <definedName name="Slicer_Luna">#N/A</definedName>
    <definedName name="Slicer_Produs">#N/A</definedName>
    <definedName name="Slicer_Regiun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20" l="1" a="1"/>
  <c r="N13" i="20" s="1"/>
  <c r="N10" i="20" a="1"/>
  <c r="N10" i="20" s="1"/>
  <c r="N11" i="20" a="1"/>
  <c r="N11" i="20" s="1"/>
  <c r="N12" i="20" a="1"/>
  <c r="N12" i="20" s="1"/>
  <c r="N9" i="20" a="1"/>
  <c r="N9" i="20" s="1"/>
  <c r="M9" i="20" a="1"/>
  <c r="M9" i="20" s="1"/>
  <c r="I13" i="20"/>
  <c r="I10" i="20"/>
  <c r="I11" i="20"/>
  <c r="I12" i="20"/>
  <c r="I9" i="20"/>
  <c r="H9" i="20" a="1"/>
  <c r="H9" i="20" s="1"/>
  <c r="H9" i="21" a="1"/>
  <c r="H9" i="21" s="1"/>
  <c r="I9" i="21" s="1"/>
  <c r="B139" i="1"/>
  <c r="H9" i="19" a="1"/>
  <c r="H9" i="19" s="1"/>
  <c r="I9" i="19" s="1"/>
  <c r="H9" i="18" a="1"/>
  <c r="H9" i="18" s="1"/>
  <c r="I9" i="18" s="1"/>
  <c r="M9" i="21" a="1"/>
  <c r="M9" i="21" s="1"/>
  <c r="N9" i="21" a="1"/>
  <c r="N9" i="21" s="1"/>
  <c r="B85" i="1"/>
  <c r="B44" i="1"/>
  <c r="B110" i="1"/>
  <c r="B122" i="1"/>
  <c r="B45" i="1"/>
  <c r="B79" i="1"/>
  <c r="B86" i="1"/>
  <c r="B123" i="1"/>
  <c r="B111" i="1"/>
  <c r="B140" i="1"/>
  <c r="B46" i="1"/>
  <c r="B124" i="1"/>
  <c r="B87" i="1"/>
  <c r="B2" i="1"/>
  <c r="B47" i="1"/>
  <c r="B48" i="1"/>
  <c r="B13" i="1"/>
  <c r="B49" i="1"/>
  <c r="B30" i="1"/>
  <c r="B61" i="1"/>
  <c r="B125" i="1"/>
  <c r="B88" i="1"/>
  <c r="B126" i="1"/>
  <c r="B127" i="1"/>
  <c r="B89" i="1"/>
  <c r="B80" i="1"/>
  <c r="B90" i="1"/>
  <c r="B70" i="1"/>
  <c r="B141" i="1"/>
  <c r="B112" i="1"/>
  <c r="B71" i="1"/>
  <c r="B14" i="1"/>
  <c r="B142" i="1"/>
  <c r="B72" i="1"/>
  <c r="B3" i="1"/>
  <c r="B113" i="1"/>
  <c r="B4" i="1"/>
  <c r="B73" i="1"/>
  <c r="B50" i="1"/>
  <c r="B31" i="1"/>
  <c r="B32" i="1"/>
  <c r="B15" i="1"/>
  <c r="B33" i="1"/>
  <c r="B34" i="1"/>
  <c r="B5" i="1"/>
  <c r="B143" i="1"/>
  <c r="B62" i="1"/>
  <c r="B35" i="1"/>
  <c r="B51" i="1"/>
  <c r="B114" i="1"/>
  <c r="B128" i="1"/>
  <c r="B6" i="1"/>
  <c r="B144" i="1"/>
  <c r="B129" i="1"/>
  <c r="B130" i="1"/>
  <c r="B7" i="1"/>
  <c r="B52" i="1"/>
  <c r="B131" i="1"/>
  <c r="B100" i="1"/>
  <c r="B63" i="1"/>
  <c r="B16" i="1"/>
  <c r="B101" i="1"/>
  <c r="B132" i="1"/>
  <c r="B17" i="1"/>
  <c r="B64" i="1"/>
  <c r="B91" i="1"/>
  <c r="B92" i="1"/>
  <c r="B102" i="1"/>
  <c r="B74" i="1"/>
  <c r="B145" i="1"/>
  <c r="B81" i="1"/>
  <c r="B133" i="1"/>
  <c r="B146" i="1"/>
  <c r="B18" i="1"/>
  <c r="B115" i="1"/>
  <c r="B134" i="1"/>
  <c r="B147" i="1"/>
  <c r="B116" i="1"/>
  <c r="B93" i="1"/>
  <c r="B94" i="1"/>
  <c r="B103" i="1"/>
  <c r="B117" i="1"/>
  <c r="B65" i="1"/>
  <c r="B8" i="1"/>
  <c r="B148" i="1"/>
  <c r="B95" i="1"/>
  <c r="B19" i="1"/>
  <c r="B53" i="1"/>
  <c r="B36" i="1"/>
  <c r="B66" i="1"/>
  <c r="B149" i="1"/>
  <c r="B9" i="1"/>
  <c r="B20" i="1"/>
  <c r="B67" i="1"/>
  <c r="B82" i="1"/>
  <c r="B10" i="1"/>
  <c r="B54" i="1"/>
  <c r="B135" i="1"/>
  <c r="B55" i="1"/>
  <c r="B96" i="1"/>
  <c r="B136" i="1"/>
  <c r="B137" i="1"/>
  <c r="B104" i="1"/>
  <c r="B37" i="1"/>
  <c r="B75" i="1"/>
  <c r="B118" i="1"/>
  <c r="B21" i="1"/>
  <c r="B22" i="1"/>
  <c r="B56" i="1"/>
  <c r="B57" i="1"/>
  <c r="B105" i="1"/>
  <c r="B106" i="1"/>
  <c r="B138" i="1"/>
  <c r="B38" i="1"/>
  <c r="B83" i="1"/>
  <c r="B150" i="1"/>
  <c r="B151" i="1"/>
  <c r="B23" i="1"/>
  <c r="B119" i="1"/>
  <c r="B97" i="1"/>
  <c r="B24" i="1"/>
  <c r="B76" i="1"/>
  <c r="B77" i="1"/>
  <c r="B39" i="1"/>
  <c r="B107" i="1"/>
  <c r="B40" i="1"/>
  <c r="B58" i="1"/>
  <c r="B41" i="1"/>
  <c r="B108" i="1"/>
  <c r="B59" i="1"/>
  <c r="B68" i="1"/>
  <c r="B25" i="1"/>
  <c r="B42" i="1"/>
  <c r="B120" i="1"/>
  <c r="B11" i="1"/>
  <c r="B98" i="1"/>
  <c r="B78" i="1"/>
  <c r="B84" i="1"/>
  <c r="B26" i="1"/>
  <c r="B27" i="1"/>
  <c r="B12" i="1"/>
  <c r="B99" i="1"/>
  <c r="B121" i="1"/>
  <c r="B28" i="1"/>
  <c r="B29" i="1"/>
  <c r="B69" i="1"/>
  <c r="B60" i="1"/>
  <c r="B43" i="1"/>
  <c r="B109" i="1"/>
  <c r="N12" i="21" a="1"/>
  <c r="N12" i="21" s="1"/>
  <c r="N11" i="21" a="1"/>
  <c r="N11" i="21" s="1"/>
  <c r="N10" i="21" a="1"/>
  <c r="N10" i="21" s="1"/>
  <c r="N12" i="18" a="1"/>
  <c r="N12" i="18" s="1"/>
  <c r="N11" i="18" a="1"/>
  <c r="N11" i="18" s="1"/>
  <c r="N10" i="18" a="1"/>
  <c r="N10" i="18" s="1"/>
  <c r="N9" i="18" a="1"/>
  <c r="N9" i="18" s="1"/>
  <c r="M9" i="19" a="1"/>
  <c r="M9" i="19" s="1"/>
  <c r="N9" i="19" s="1" a="1"/>
  <c r="N9" i="19" s="1"/>
  <c r="M9" i="18" a="1"/>
  <c r="M9" i="18" s="1"/>
  <c r="I152" i="1"/>
  <c r="N15" i="19" l="1" a="1"/>
  <c r="N15" i="19" s="1"/>
  <c r="N13" i="19" a="1"/>
  <c r="N13" i="19" s="1"/>
  <c r="N12" i="19" a="1"/>
  <c r="N12" i="19" s="1"/>
  <c r="N11" i="19" a="1"/>
  <c r="N11" i="19" s="1"/>
  <c r="N10" i="19" a="1"/>
  <c r="N10" i="19" s="1"/>
  <c r="N18" i="19" a="1"/>
  <c r="N18" i="19" s="1"/>
  <c r="N17" i="19" a="1"/>
  <c r="N17" i="19" s="1"/>
  <c r="N14" i="19" a="1"/>
  <c r="N14" i="19" s="1"/>
  <c r="N20" i="19" a="1"/>
  <c r="N20" i="19" s="1"/>
  <c r="N19" i="19" a="1"/>
  <c r="N19" i="19" s="1"/>
  <c r="N16" i="19" a="1"/>
  <c r="N16" i="19" s="1"/>
  <c r="I11" i="19"/>
  <c r="I13" i="19"/>
  <c r="I14" i="19"/>
  <c r="I20" i="19"/>
  <c r="I19" i="19"/>
  <c r="I16" i="19"/>
  <c r="I12" i="19"/>
  <c r="I18" i="19"/>
  <c r="I17" i="19"/>
  <c r="I15" i="19"/>
  <c r="I10" i="19"/>
  <c r="I10" i="21"/>
  <c r="I12" i="21"/>
  <c r="I11" i="21"/>
  <c r="I10" i="18"/>
  <c r="I11" i="18"/>
  <c r="I12"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E1E3CA-449D-4753-8084-A47CC3941057}"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<sst xmlns="http://schemas.openxmlformats.org/spreadsheetml/2006/main" count="1439" uniqueCount="193">
  <si>
    <t>Data</t>
  </si>
  <si>
    <t>Produs</t>
  </si>
  <si>
    <t>Regiune</t>
  </si>
  <si>
    <t>Client</t>
  </si>
  <si>
    <t>Cantitate</t>
  </si>
  <si>
    <t>Preț unitar (lei)</t>
  </si>
  <si>
    <t>Total vânzare (lei)</t>
  </si>
  <si>
    <t>08.05.2023</t>
  </si>
  <si>
    <t>13.09.2023</t>
  </si>
  <si>
    <t>01.04.2023</t>
  </si>
  <si>
    <t>24.11.2023</t>
  </si>
  <si>
    <t>09.12.2023</t>
  </si>
  <si>
    <t>14.04.2023</t>
  </si>
  <si>
    <t>26.08.2023</t>
  </si>
  <si>
    <t>20.09.2023</t>
  </si>
  <si>
    <t>12.12.2023</t>
  </si>
  <si>
    <t>04.11.2023</t>
  </si>
  <si>
    <t>11.05.2023</t>
  </si>
  <si>
    <t>23.12.2023</t>
  </si>
  <si>
    <t>27.09.2023</t>
  </si>
  <si>
    <t>27.01.2023</t>
  </si>
  <si>
    <t>28.04.2023</t>
  </si>
  <si>
    <t>19.02.2023</t>
  </si>
  <si>
    <t>04.04.2023</t>
  </si>
  <si>
    <t>10.03.2023</t>
  </si>
  <si>
    <t>18.06.2023</t>
  </si>
  <si>
    <t>08.12.2023</t>
  </si>
  <si>
    <t>24.09.2023</t>
  </si>
  <si>
    <t>06.12.2023</t>
  </si>
  <si>
    <t>02.12.2023</t>
  </si>
  <si>
    <t>22.09.2023</t>
  </si>
  <si>
    <t>31.08.2023</t>
  </si>
  <si>
    <t>08.09.2023</t>
  </si>
  <si>
    <t>10.07.2023</t>
  </si>
  <si>
    <t>17.05.2023</t>
  </si>
  <si>
    <t>28.11.2023</t>
  </si>
  <si>
    <t>06.07.2023</t>
  </si>
  <si>
    <t>21.02.2023</t>
  </si>
  <si>
    <t>28.05.2023</t>
  </si>
  <si>
    <t>01.07.2023</t>
  </si>
  <si>
    <t>11.01.2023</t>
  </si>
  <si>
    <t>18.11.2023</t>
  </si>
  <si>
    <t>08.01.2023</t>
  </si>
  <si>
    <t>09.07.2023</t>
  </si>
  <si>
    <t>22.04.2023</t>
  </si>
  <si>
    <t>21.03.2023</t>
  </si>
  <si>
    <t>15.03.2023</t>
  </si>
  <si>
    <t>06.02.2023</t>
  </si>
  <si>
    <t>01.03.2023</t>
  </si>
  <si>
    <t>27.03.2023</t>
  </si>
  <si>
    <t>29.01.2023</t>
  </si>
  <si>
    <t>11.06.2023</t>
  </si>
  <si>
    <t>08.03.2023</t>
  </si>
  <si>
    <t>16.04.2023</t>
  </si>
  <si>
    <t>03.11.2023</t>
  </si>
  <si>
    <t>12.01.2023</t>
  </si>
  <si>
    <t>20.05.2023</t>
  </si>
  <si>
    <t>11.12.2023</t>
  </si>
  <si>
    <t>31.01.2023</t>
  </si>
  <si>
    <t>29.04.2023</t>
  </si>
  <si>
    <t>15.10.2023</t>
  </si>
  <si>
    <t>19.06.2023</t>
  </si>
  <si>
    <t>20.02.2023</t>
  </si>
  <si>
    <t>25.10.2023</t>
  </si>
  <si>
    <t>29.12.2023</t>
  </si>
  <si>
    <t>04.02.2023</t>
  </si>
  <si>
    <t>22.06.2023</t>
  </si>
  <si>
    <t>01.09.2023</t>
  </si>
  <si>
    <t>05.09.2023</t>
  </si>
  <si>
    <t>01.10.2023</t>
  </si>
  <si>
    <t>03.05.2023</t>
  </si>
  <si>
    <t>13.08.2023</t>
  </si>
  <si>
    <t>07.05.2023</t>
  </si>
  <si>
    <t>15.02.2023</t>
  </si>
  <si>
    <t>27.11.2023</t>
  </si>
  <si>
    <t>05.11.2023</t>
  </si>
  <si>
    <t>06.09.2023</t>
  </si>
  <si>
    <t>12.09.2023</t>
  </si>
  <si>
    <t>13.10.2023</t>
  </si>
  <si>
    <t>03.06.2023</t>
  </si>
  <si>
    <t>05.05.2023</t>
  </si>
  <si>
    <t>02.09.2023</t>
  </si>
  <si>
    <t>02.02.2023</t>
  </si>
  <si>
    <t>20.03.2023</t>
  </si>
  <si>
    <t>05.06.2023</t>
  </si>
  <si>
    <t>29.05.2023</t>
  </si>
  <si>
    <t>16.01.2023</t>
  </si>
  <si>
    <t>23.02.2023</t>
  </si>
  <si>
    <t>27.06.2023</t>
  </si>
  <si>
    <t>11.08.2023</t>
  </si>
  <si>
    <t>23.01.2023</t>
  </si>
  <si>
    <t>19.04.2023</t>
  </si>
  <si>
    <t>28.12.2023</t>
  </si>
  <si>
    <t>10.04.2023</t>
  </si>
  <si>
    <t>21.09.2023</t>
  </si>
  <si>
    <t>14.12.2023</t>
  </si>
  <si>
    <t>01.12.2023</t>
  </si>
  <si>
    <t>23.10.2023</t>
  </si>
  <si>
    <t>09.03.2023</t>
  </si>
  <si>
    <t>23.07.2023</t>
  </si>
  <si>
    <t>26.11.2023</t>
  </si>
  <si>
    <t>25.02.2023</t>
  </si>
  <si>
    <t>13.04.2023</t>
  </si>
  <si>
    <t>27.04.2023</t>
  </si>
  <si>
    <t>09.10.2023</t>
  </si>
  <si>
    <t>20.10.2023</t>
  </si>
  <si>
    <t>19.03.2023</t>
  </si>
  <si>
    <t>20.08.2023</t>
  </si>
  <si>
    <t>31.05.2023</t>
  </si>
  <si>
    <t>22.05.2023</t>
  </si>
  <si>
    <t>02.11.2023</t>
  </si>
  <si>
    <t>03.09.2023</t>
  </si>
  <si>
    <t>15.07.2023</t>
  </si>
  <si>
    <t>16.07.2023</t>
  </si>
  <si>
    <t>02.03.2023</t>
  </si>
  <si>
    <t>27.10.2023</t>
  </si>
  <si>
    <t>29.03.2023</t>
  </si>
  <si>
    <t>24.04.2023</t>
  </si>
  <si>
    <t>05.03.2023</t>
  </si>
  <si>
    <t>11.04.2023</t>
  </si>
  <si>
    <t>29.06.2023</t>
  </si>
  <si>
    <t>17.02.2023</t>
  </si>
  <si>
    <t>17.03.2023</t>
  </si>
  <si>
    <t>13.11.2023</t>
  </si>
  <si>
    <t>07.01.2023</t>
  </si>
  <si>
    <t>16.09.2023</t>
  </si>
  <si>
    <t>28.07.2023</t>
  </si>
  <si>
    <t>30.08.2023</t>
  </si>
  <si>
    <t>18.02.2023</t>
  </si>
  <si>
    <t>11.02.2023</t>
  </si>
  <si>
    <t>05.01.2023</t>
  </si>
  <si>
    <t>17.09.2023</t>
  </si>
  <si>
    <t>12.11.2023</t>
  </si>
  <si>
    <t>14.02.2023</t>
  </si>
  <si>
    <t>22.02.2023</t>
  </si>
  <si>
    <t>25.04.2023</t>
  </si>
  <si>
    <t>19.10.2023</t>
  </si>
  <si>
    <t>Monitor</t>
  </si>
  <si>
    <t>Laptop</t>
  </si>
  <si>
    <t>Telefon</t>
  </si>
  <si>
    <t>Tabletă</t>
  </si>
  <si>
    <t>Căști</t>
  </si>
  <si>
    <t>Est</t>
  </si>
  <si>
    <t>Vest</t>
  </si>
  <si>
    <t>Sud</t>
  </si>
  <si>
    <t>Nord</t>
  </si>
  <si>
    <t>Client D</t>
  </si>
  <si>
    <t>Client C</t>
  </si>
  <si>
    <t>Client A</t>
  </si>
  <si>
    <t>Client B</t>
  </si>
  <si>
    <t>Row Labels</t>
  </si>
  <si>
    <t>Grand Total</t>
  </si>
  <si>
    <t>Sum of Total vânzare (lei)</t>
  </si>
  <si>
    <t>Luna</t>
  </si>
  <si>
    <t>Data Corecta</t>
  </si>
  <si>
    <t>Mai</t>
  </si>
  <si>
    <t>Septembrie</t>
  </si>
  <si>
    <t>Aprilie</t>
  </si>
  <si>
    <t>Noiembrie</t>
  </si>
  <si>
    <t>Decembrie</t>
  </si>
  <si>
    <t>August</t>
  </si>
  <si>
    <t>Ianuarie</t>
  </si>
  <si>
    <t>Februarie</t>
  </si>
  <si>
    <t>Martie</t>
  </si>
  <si>
    <t>Iunie</t>
  </si>
  <si>
    <t>Iulie</t>
  </si>
  <si>
    <t>Octombrie</t>
  </si>
  <si>
    <t>Extrag din tabelul ce contine raw data ale vanzarilor doar produsul si vanzarile totale.</t>
  </si>
  <si>
    <t>Folosind functia 'Sumifs'</t>
  </si>
  <si>
    <t>Folosind functia 'Sumproduct'</t>
  </si>
  <si>
    <t>Folosind 'Tabel Pivot'</t>
  </si>
  <si>
    <t>Total</t>
  </si>
  <si>
    <t>🗓️ 1. Analiza lunară a vânzărilor</t>
  </si>
  <si>
    <t>🏙️ 2. Vânzări pe regiune</t>
  </si>
  <si>
    <t>👥 3. Top 4 clienți</t>
  </si>
  <si>
    <t>In urma analizelor per perioada lunara observam urmatoarele:</t>
  </si>
  <si>
    <t>In urma unor analize a top 4 clienti dupa valoarea totala observam urmatoarele:</t>
  </si>
  <si>
    <t>2. Ceilalti clienti contribuie la cifra afacerilor in mod consistent.</t>
  </si>
  <si>
    <t>🛒 4. Vânzări per produs</t>
  </si>
  <si>
    <t>In urma unor analize a celor mai vandute produse observam urmatoarele:</t>
  </si>
  <si>
    <t>2. Produsele care contribuie mai putin dar considerabil la cifra afaceri sunt castile si tableta.</t>
  </si>
  <si>
    <r>
      <t xml:space="preserve">2. Cele mai slabe vanzari au avut loc in </t>
    </r>
    <r>
      <rPr>
        <b/>
        <sz val="12"/>
        <color theme="1"/>
        <rFont val="Calibri"/>
        <family val="2"/>
        <scheme val="minor"/>
      </rPr>
      <t>Iunie</t>
    </r>
    <r>
      <rPr>
        <sz val="11"/>
        <color theme="1"/>
        <rFont val="Calibri"/>
        <family val="2"/>
        <scheme val="minor"/>
      </rPr>
      <t xml:space="preserve">, cu un total de </t>
    </r>
    <r>
      <rPr>
        <b/>
        <sz val="12"/>
        <color theme="1"/>
        <rFont val="Calibri"/>
        <family val="2"/>
        <scheme val="minor"/>
      </rPr>
      <t>38.237 lei</t>
    </r>
    <r>
      <rPr>
        <sz val="11"/>
        <color theme="1"/>
        <rFont val="Calibri"/>
        <family val="2"/>
        <scheme val="minor"/>
      </rPr>
      <t xml:space="preserve">. </t>
    </r>
  </si>
  <si>
    <r>
      <t xml:space="preserve">Regiunea cu cele mai mici vanzari este </t>
    </r>
    <r>
      <rPr>
        <b/>
        <sz val="12"/>
        <color theme="1"/>
        <rFont val="Calibri"/>
        <family val="2"/>
        <scheme val="minor"/>
      </rPr>
      <t>Sud</t>
    </r>
    <r>
      <rPr>
        <sz val="11"/>
        <color theme="1"/>
        <rFont val="Calibri"/>
        <family val="2"/>
        <scheme val="minor"/>
      </rPr>
      <t xml:space="preserve">, cu un total de </t>
    </r>
    <r>
      <rPr>
        <b/>
        <sz val="12"/>
        <color theme="1"/>
        <rFont val="Calibri"/>
        <family val="2"/>
        <scheme val="minor"/>
      </rPr>
      <t>153.477 lei</t>
    </r>
    <r>
      <rPr>
        <sz val="11"/>
        <color theme="1"/>
        <rFont val="Calibri"/>
        <family val="2"/>
        <scheme val="minor"/>
      </rPr>
      <t>.</t>
    </r>
  </si>
  <si>
    <r>
      <t xml:space="preserve">Regiunea cu cele mai mari vanzari este </t>
    </r>
    <r>
      <rPr>
        <b/>
        <sz val="12"/>
        <color theme="1"/>
        <rFont val="Calibri"/>
        <family val="2"/>
        <scheme val="minor"/>
      </rPr>
      <t>Nord</t>
    </r>
    <r>
      <rPr>
        <sz val="11"/>
        <color theme="1"/>
        <rFont val="Calibri"/>
        <family val="2"/>
        <scheme val="minor"/>
      </rPr>
      <t xml:space="preserve">, cu un total de </t>
    </r>
    <r>
      <rPr>
        <b/>
        <sz val="12"/>
        <color theme="1"/>
        <rFont val="Calibri"/>
        <family val="2"/>
        <scheme val="minor"/>
      </rPr>
      <t>242.382 lei</t>
    </r>
    <r>
      <rPr>
        <sz val="11"/>
        <color theme="1"/>
        <rFont val="Calibri"/>
        <family val="2"/>
        <scheme val="minor"/>
      </rPr>
      <t>.</t>
    </r>
  </si>
  <si>
    <r>
      <t xml:space="preserve">1. Cel mai valoros client este </t>
    </r>
    <r>
      <rPr>
        <b/>
        <sz val="12"/>
        <color theme="1" tint="4.9989318521683403E-2"/>
        <rFont val="Calibri"/>
        <family val="2"/>
        <scheme val="minor"/>
      </rPr>
      <t>Client C</t>
    </r>
    <r>
      <rPr>
        <sz val="11"/>
        <color theme="1"/>
        <rFont val="Calibri"/>
        <family val="2"/>
        <scheme val="minor"/>
      </rPr>
      <t xml:space="preserve">, cu un total de </t>
    </r>
    <r>
      <rPr>
        <b/>
        <sz val="12"/>
        <color theme="1"/>
        <rFont val="Calibri"/>
        <family val="2"/>
        <scheme val="minor"/>
      </rPr>
      <t>222.096 lei</t>
    </r>
    <r>
      <rPr>
        <sz val="11"/>
        <color theme="1"/>
        <rFont val="Calibri"/>
        <family val="2"/>
        <scheme val="minor"/>
      </rPr>
      <t>.</t>
    </r>
  </si>
  <si>
    <r>
      <t xml:space="preserve">1. Cel mai vandut produs este </t>
    </r>
    <r>
      <rPr>
        <b/>
        <sz val="12"/>
        <color theme="1"/>
        <rFont val="Calibri"/>
        <family val="2"/>
        <scheme val="minor"/>
      </rPr>
      <t>Telefonul</t>
    </r>
    <r>
      <rPr>
        <sz val="11"/>
        <color theme="1"/>
        <rFont val="Calibri"/>
        <family val="2"/>
        <scheme val="minor"/>
      </rPr>
      <t xml:space="preserve">. Cu un total de </t>
    </r>
    <r>
      <rPr>
        <b/>
        <sz val="12"/>
        <color theme="1"/>
        <rFont val="Calibri"/>
        <family val="2"/>
        <scheme val="minor"/>
      </rPr>
      <t>205.328 lei</t>
    </r>
    <r>
      <rPr>
        <sz val="11"/>
        <color theme="1"/>
        <rFont val="Calibri"/>
        <family val="2"/>
        <scheme val="minor"/>
      </rPr>
      <t>.</t>
    </r>
  </si>
  <si>
    <t>Extrag din tabelul ce contine raw data ale vanzarilor doar luna si vanzarile totale.</t>
  </si>
  <si>
    <t>Extrag din tabelul ce contine raw data ale vanzarilor doar regiunea si vanzarile totale.</t>
  </si>
  <si>
    <t>Extrag din tabelul ce contine raw data ale vanzarilor doar clientii si vanzarile totale.</t>
  </si>
  <si>
    <r>
      <t xml:space="preserve">1. Cele mai mari vanzari au avut loc in luna </t>
    </r>
    <r>
      <rPr>
        <b/>
        <sz val="11"/>
        <color theme="1"/>
        <rFont val="Calibri"/>
        <family val="2"/>
        <scheme val="minor"/>
      </rPr>
      <t>S</t>
    </r>
    <r>
      <rPr>
        <b/>
        <sz val="12"/>
        <color theme="1"/>
        <rFont val="Calibri"/>
        <family val="2"/>
        <scheme val="minor"/>
      </rPr>
      <t>eptembrie</t>
    </r>
    <r>
      <rPr>
        <sz val="11"/>
        <color theme="1"/>
        <rFont val="Calibri"/>
        <family val="2"/>
        <scheme val="minor"/>
      </rPr>
      <t xml:space="preserve">, cu un total de </t>
    </r>
    <r>
      <rPr>
        <b/>
        <sz val="12"/>
        <color theme="1"/>
        <rFont val="Calibri"/>
        <family val="2"/>
        <scheme val="minor"/>
      </rPr>
      <t>115.336 lei</t>
    </r>
    <r>
      <rPr>
        <sz val="11"/>
        <color theme="1"/>
        <rFont val="Calibri"/>
        <family val="2"/>
        <scheme val="minor"/>
      </rPr>
      <t>.</t>
    </r>
  </si>
  <si>
    <t>In urma analizelor per regiune observam urmatoarele:</t>
  </si>
  <si>
    <t>`</t>
  </si>
  <si>
    <t>Analiza Performantei Comerciale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</si>
</sst>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dd/mm/yyyy"/>
    <numFmt numFmtId="165" formatCode="#,##0\ [$RON]\ "/>
  </numFmts>
  <fonts count="9" x14ac:knownFonts="1">
    <font>
      <sz val="11"/>
      <color theme="1"/>
      <name val="Calibri"/>
      <family val="2"/>
      <scheme val="minor"/>
    </font>
    <font>
      <b/>
      <sz val="11"/>
      <color theme="1"/>
      <name val="Calibri"/>
      <family val="2"/>
      <scheme val="minor"/>
    </font>
    <font>
      <sz val="11"/>
      <color theme="1"/>
      <name val="Calibri"/>
      <family val="2"/>
      <scheme val="minor"/>
    </font>
    <font>
      <b/>
      <sz val="15"/>
      <color theme="3"/>
      <name val="Calibri"/>
      <family val="2"/>
      <scheme val="minor"/>
    </font>
    <font>
      <b/>
      <sz val="11"/>
      <color theme="3"/>
      <name val="Calibri"/>
      <family val="2"/>
      <scheme val="minor"/>
    </font>
    <font>
      <sz val="11"/>
      <color rgb="FF9C5700"/>
      <name val="Calibri"/>
      <family val="2"/>
      <scheme val="minor"/>
    </font>
    <font>
      <b/>
      <sz val="12"/>
      <color theme="1"/>
      <name val="Calibri"/>
      <family val="2"/>
      <scheme val="minor"/>
    </font>
    <font>
      <b/>
      <sz val="12"/>
      <color theme="1" tint="4.9989318521683403E-2"/>
      <name val="Calibri"/>
      <family val="2"/>
      <scheme val="minor"/>
    </font>
    <font>
      <sz val="36"/>
      <color theme="2"/>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EB9C"/>
      </patternFill>
    </fill>
    <fill>
      <patternFill patternType="solid">
        <fgColor theme="4" tint="0.59999389629810485"/>
        <bgColor theme="4" tint="0.59999389629810485"/>
      </patternFill>
    </fill>
    <fill>
      <patternFill patternType="solid">
        <fgColor theme="4" tint="-0.499984740745262"/>
        <bgColor indexed="64"/>
      </patternFill>
    </fill>
  </fills>
  <borders count="9">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s>
  <cellStyleXfs count="6">
    <xf numFmtId="0" fontId="0" fillId="0" borderId="0"/>
    <xf numFmtId="43" fontId="2" fillId="0" borderId="0" applyFont="0" applyFill="0" applyBorder="0" applyAlignment="0" applyProtection="0"/>
    <xf numFmtId="0" fontId="3" fillId="0" borderId="3" applyNumberFormat="0" applyFill="0" applyAlignment="0" applyProtection="0"/>
    <xf numFmtId="0" fontId="4" fillId="0" borderId="0" applyNumberFormat="0" applyFill="0" applyBorder="0" applyAlignment="0" applyProtection="0"/>
    <xf numFmtId="0" fontId="5" fillId="3" borderId="0" applyNumberFormat="0" applyBorder="0" applyAlignment="0" applyProtection="0"/>
    <xf numFmtId="44" fontId="2" fillId="0" borderId="0" applyFont="0" applyFill="0" applyBorder="0" applyAlignment="0" applyProtection="0"/>
  </cellStyleXfs>
  <cellXfs count="2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4" fontId="0" fillId="0" borderId="0" xfId="0" applyNumberFormat="1"/>
    <xf numFmtId="164" fontId="0" fillId="0" borderId="0" xfId="0" applyNumberFormat="1" applyAlignment="1">
      <alignment horizontal="center"/>
    </xf>
    <xf numFmtId="0" fontId="0" fillId="0" borderId="5" xfId="0" applyBorder="1"/>
    <xf numFmtId="0" fontId="0" fillId="4" borderId="2" xfId="0" applyFill="1" applyBorder="1"/>
    <xf numFmtId="0" fontId="0" fillId="2" borderId="2" xfId="0" applyFill="1" applyBorder="1"/>
    <xf numFmtId="14" fontId="0" fillId="0" borderId="5" xfId="0" applyNumberFormat="1" applyBorder="1"/>
    <xf numFmtId="165" fontId="0" fillId="0" borderId="0" xfId="0" applyNumberFormat="1"/>
    <xf numFmtId="165" fontId="0" fillId="0" borderId="5" xfId="5" applyNumberFormat="1" applyFont="1" applyBorder="1"/>
    <xf numFmtId="165" fontId="0" fillId="0" borderId="5" xfId="0" applyNumberFormat="1" applyBorder="1"/>
    <xf numFmtId="14" fontId="0" fillId="0" borderId="0" xfId="0" applyNumberFormat="1" applyAlignment="1">
      <alignment horizontal="left"/>
    </xf>
    <xf numFmtId="165" fontId="0" fillId="4" borderId="6" xfId="0" applyNumberFormat="1" applyFill="1" applyBorder="1"/>
    <xf numFmtId="165" fontId="0" fillId="2" borderId="6" xfId="0" applyNumberFormat="1" applyFill="1" applyBorder="1"/>
    <xf numFmtId="0" fontId="0" fillId="2" borderId="8" xfId="0" applyFill="1" applyBorder="1"/>
    <xf numFmtId="165" fontId="0" fillId="2" borderId="7" xfId="0" applyNumberFormat="1" applyFill="1" applyBorder="1"/>
    <xf numFmtId="164" fontId="0" fillId="0" borderId="2" xfId="0" applyNumberFormat="1" applyBorder="1" applyAlignment="1">
      <alignment horizontal="center"/>
    </xf>
    <xf numFmtId="164" fontId="0" fillId="2" borderId="0" xfId="0" applyNumberFormat="1" applyFill="1" applyAlignment="1">
      <alignment horizontal="center"/>
    </xf>
    <xf numFmtId="0" fontId="8" fillId="5" borderId="0" xfId="0" applyFont="1" applyFill="1" applyAlignment="1">
      <alignment horizontal="center" vertical="center"/>
    </xf>
    <xf numFmtId="0" fontId="3" fillId="0" borderId="3" xfId="2" applyAlignment="1">
      <alignment horizontal="center"/>
    </xf>
    <xf numFmtId="49" fontId="0" fillId="0" borderId="0" xfId="1" applyNumberFormat="1" applyFont="1" applyAlignment="1">
      <alignment horizontal="center"/>
    </xf>
    <xf numFmtId="0" fontId="0" fillId="0" borderId="0" xfId="0" applyAlignment="1">
      <alignment horizontal="center"/>
    </xf>
    <xf numFmtId="0" fontId="4" fillId="0" borderId="0" xfId="3" applyAlignment="1">
      <alignment horizontal="left"/>
    </xf>
    <xf numFmtId="0" fontId="4" fillId="0" borderId="0" xfId="3" applyBorder="1" applyAlignment="1">
      <alignment horizontal="left"/>
    </xf>
    <xf numFmtId="0" fontId="4" fillId="0" borderId="0" xfId="3"/>
    <xf numFmtId="0" fontId="5" fillId="3" borderId="4" xfId="4" applyBorder="1" applyAlignment="1">
      <alignment horizontal="center"/>
    </xf>
    <xf numFmtId="0" fontId="5" fillId="3" borderId="0" xfId="4" applyAlignment="1">
      <alignment horizontal="center"/>
    </xf>
  </cellXfs>
  <cellStyles count="6">
    <cellStyle name="Comma" xfId="1" builtinId="3"/>
    <cellStyle name="Currency" xfId="5" builtinId="4"/>
    <cellStyle name="Heading 1" xfId="2" builtinId="16"/>
    <cellStyle name="Heading 4" xfId="3" builtinId="19"/>
    <cellStyle name="Neutral" xfId="4" builtinId="28"/>
    <cellStyle name="Normal" xfId="0" builtinId="0"/>
  </cellStyles>
  <dxfs count="26">
    <dxf>
      <numFmt numFmtId="35" formatCode="_(* #,##0.00_);_(* \(#,##0.00\);_(* &quot;-&quot;??_);_(@_)"/>
    </dxf>
    <dxf>
      <numFmt numFmtId="165" formatCode="#,##0\ [$RON]\ "/>
    </dxf>
    <dxf>
      <numFmt numFmtId="35" formatCode="_(* #,##0.00_);_(* \(#,##0.00\);_(* &quot;-&quot;??_);_(@_)"/>
    </dxf>
    <dxf>
      <numFmt numFmtId="165" formatCode="#,##0\ [$RON]\ "/>
    </dxf>
    <dxf>
      <numFmt numFmtId="35" formatCode="_(* #,##0.00_);_(* \(#,##0.00\);_(* &quot;-&quot;??_);_(@_)"/>
    </dxf>
    <dxf>
      <numFmt numFmtId="165" formatCode="#,##0\ [$RON]\ "/>
    </dxf>
    <dxf>
      <numFmt numFmtId="165" formatCode="#,##0\ [$RON]\ "/>
    </dxf>
    <dxf>
      <numFmt numFmtId="165" formatCode="#,##0\ [$RON]\ "/>
    </dxf>
    <dxf>
      <numFmt numFmtId="19" formatCode="m/d/yyyy"/>
      <alignment horizontal="left" vertical="bottom" textRotation="0" wrapText="0" indent="0" justifyLastLine="0" shrinkToFit="0" readingOrder="0"/>
    </dxf>
    <dxf>
      <numFmt numFmtId="164" formatCode="dd/mm/yyyy"/>
      <alignment horizontal="center" vertical="bottom" textRotation="0" wrapText="0" indent="0" justifyLastLine="0" shrinkToFit="0" readingOrder="0"/>
    </dxf>
    <dxf>
      <numFmt numFmtId="19" formatCode="m/d/yyyy"/>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5" formatCode="#,##0\ [$RON]\ "/>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border outline="0">
        <bottom style="thin">
          <color theme="0"/>
        </bottom>
      </border>
    </dxf>
    <dxf>
      <numFmt numFmtId="165" formatCode="#,##0\ [$RON]\ "/>
    </dxf>
    <dxf>
      <numFmt numFmtId="165" formatCode="#,##0\ [$RON]\ "/>
    </dxf>
    <dxf>
      <numFmt numFmtId="165" formatCode="#,##0\ [$RON]\ "/>
    </dxf>
    <dxf>
      <alignment horizontal="left" vertical="bottom" textRotation="0" wrapText="0" indent="0" justifyLastLine="0" shrinkToFit="0" readingOrder="0"/>
    </dxf>
    <dxf>
      <numFmt numFmtId="165" formatCode="#,##0\ [$RON]\ "/>
    </dxf>
    <dxf>
      <numFmt numFmtId="19" formatCode="m/d/yyyy"/>
      <alignment horizontal="left" vertical="bottom" textRotation="0" wrapText="0" indent="0" justifyLastLine="0" shrinkToFit="0" readingOrder="0"/>
    </dxf>
    <dxf>
      <numFmt numFmtId="165" formatCode="#,##0\ [$RON]\ "/>
    </dxf>
    <dxf>
      <numFmt numFmtId="35" formatCode="_(* #,##0.00_);_(* \(#,##0.00\);_(* &quot;-&quot;??_);_(@_)"/>
    </dxf>
  </dxfs>
  <tableStyles count="1" defaultTableStyle="TableStyleMedium9" defaultPivotStyle="PivotStyleLight16">
    <tableStyle name="PivotTable Style 1" table="0" count="0" xr9:uid="{0A326DBC-B9C9-4B29-AB6B-7A4C11FAF3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[Analiza_Vanzari_Excel.xlsx]Vanzari lunare!Vanzari lunare</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Vanzari lunare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'Vanzari lunare'!$E$9</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'Vanzari lunare'!$D$10:$D$22</c:f>
              <c:strCache>
                <c:ptCount val="12"/>
                <c:pt idx="0">
                  <c:v>Ianuarie</c:v>
                </c:pt>
                <c:pt idx="1">
                  <c:v>Februarie</c:v>
                </c:pt>
                <c:pt idx="2">
                  <c:v>Martie</c:v>
                </c:pt>
                <c:pt idx="3">
                  <c:v>Aprilie</c:v>
                </c:pt>
                <c:pt idx="4">
                  <c:v>Mai</c:v>
                </c:pt>
                <c:pt idx="5">
                  <c:v>Iunie</c:v>
                </c:pt>
                <c:pt idx="6">
                  <c:v>Iulie</c:v>
                </c:pt>
                <c:pt idx="7">
                  <c:v>August</c:v>
                </c:pt>
                <c:pt idx="8">
                  <c:v>Septembrie</c:v>
                </c:pt>
                <c:pt idx="9">
                  <c:v>Octombrie</c:v>
                </c:pt>
                <c:pt idx="10">
                  <c:v>Noiembrie</c:v>
                </c:pt>
                <c:pt idx="11">
                  <c:v>Decembrie</c:v>
                </c:pt>
              </c:strCache>
            </c:strRef>
          </c:cat>
          <c:val>
            <c:numRef>
              <c:f>'Vanzari lunare'!$E$10:$E$22</c:f>
              <c:numCache>
                <c:formatCode>#,##0\ [$RON]\ </c:formatCode>
                <c:ptCount val="12"/>
                <c:pt idx="0">
                  <c:v>63320</c:v>
                </c:pt>
                <c:pt idx="1">
                  <c:v>87517</c:v>
                </c:pt>
                <c:pt idx="2">
                  <c:v>99072</c:v>
                </c:pt>
                <c:pt idx="3">
                  <c:v>58791</c:v>
                </c:pt>
                <c:pt idx="4">
                  <c:v>60162</c:v>
                </c:pt>
                <c:pt idx="5">
                  <c:v>38337</c:v>
                </c:pt>
                <c:pt idx="6">
                  <c:v>40899</c:v>
                </c:pt>
                <c:pt idx="7">
                  <c:v>49063</c:v>
                </c:pt>
                <c:pt idx="8">
                  <c:v>115336</c:v>
                </c:pt>
                <c:pt idx="9">
                  <c:v>48475</c:v>
                </c:pt>
                <c:pt idx="10">
                  <c:v>53494</c:v>
                </c:pt>
                <c:pt idx="11">
                  <c:v>72652</c:v>
                </c:pt>
              </c:numCache>
            </c:numRef>
          </c:val>
          <c:smooth val="0"/>
          <c:extLst>
            <c:ext xmlns:c16="http://schemas.microsoft.com/office/drawing/2014/chart" uri="{C3380CC4-5D6E-409C-BE32-E72D297353CC}">
              <c16:uniqueId val="{00000000-A5A6-4969-B28A-678B578F47AD}"/>
            </c:ext>
          </c:extLst>
        </c:ser>
        <c:dLbls>
          <c:showLegendKey val="0"/>
          <c:showVal val="0"/>
          <c:showCatName val="0"/>
          <c:showSerName val="0"/>
          <c:showPercent val="0"/>
          <c:showBubbleSize val="0"/>
        </c:dLbls>
        <c:marker val="1"/>
        <c:smooth val="0"/>
        <c:axId val="266235215"/>
        <c:axId val="266227055"/>
      </c:lineChart>
      <c:catAx>
        <c:axId val="26623521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227055"/>
        <c:crosses val="autoZero"/>
        <c:auto val="1"/>
        <c:lblAlgn val="ctr"/>
        <c:lblOffset val="100"/>
        <c:noMultiLvlLbl val="0"/>
      </c:catAx>
      <c:valAx>
        <c:axId val="266227055"/>
        <c:scaling>
          <c:orientation val="minMax"/>
        </c:scaling>
        <c:delete val="0"/>
        <c:axPos val="l"/>
        <c:majorGridlines>
          <c:spPr>
            <a:ln w="9525" cap="flat" cmpd="sng" algn="ctr">
              <a:solidFill>
                <a:schemeClr val="tx2">
                  <a:lumMod val="15000"/>
                  <a:lumOff val="85000"/>
                </a:schemeClr>
              </a:solidFill>
              <a:round/>
            </a:ln>
            <a:effectLst/>
          </c:spPr>
        </c:majorGridlines>
        <c:numFmt formatCode="#,##0\ [$RON]\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23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[Analiza_Vanzari_Excel.xlsx]Vanzari per regiune!Vanzari per regiune</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Vanzari per regiune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'Vanzari per regiune'!$E$9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7C4-46AB-A345-C887E765F34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7C4-46AB-A345-C887E765F34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7C4-46AB-A345-C887E765F34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7C4-46AB-A345-C887E765F34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37C4-46AB-A345-C887E765F3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'Vanzari per regiune'!$D$10:$D$14</c:f>
              <c:strCache>
                <c:ptCount val="4"/>
                <c:pt idx="0">
                  <c:v>Est</c:v>
                </c:pt>
                <c:pt idx="1">
                  <c:v>Nord</c:v>
                </c:pt>
                <c:pt idx="2">
                  <c:v>Sud</c:v>
                </c:pt>
                <c:pt idx="3">
                  <c:v>Vest</c:v>
                </c:pt>
              </c:strCache>
            </c:strRef>
          </c:cat>
          <c:val>
            <c:numRef>
              <c:f>'Vanzari per regiune'!$E$10:$E$14</c:f>
              <c:numCache>
                <c:formatCode>#,##0\ [$RON]\ </c:formatCode>
                <c:ptCount val="4"/>
                <c:pt idx="0">
                  <c:v>207856</c:v>
                </c:pt>
                <c:pt idx="1">
                  <c:v>242382</c:v>
                </c:pt>
                <c:pt idx="2">
                  <c:v>153477</c:v>
                </c:pt>
                <c:pt idx="3">
                  <c:v>183403</c:v>
                </c:pt>
              </c:numCache>
            </c:numRef>
          </c:val>
          <c:extLst>
            <c:ext xmlns:c16="http://schemas.microsoft.com/office/drawing/2014/chart" uri="{C3380CC4-5D6E-409C-BE32-E72D297353CC}">
              <c16:uniqueId val="{0000000A-37C4-46AB-A345-C887E765F34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[Analiza_Vanzari_Excel.xlsx]Top 4 clienti!Top 4 clienti</c:name>
    <c:fmtId val="4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4 clienti</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4 clienti'!$E$9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3"/>
            <c:invertIfNegative val="0"/>
            <c:bubble3D val="0"/>
            <c:extLst>
              <c:ext xmlns:c16="http://schemas.microsoft.com/office/drawing/2014/chart" uri="{C3380CC4-5D6E-409C-BE32-E72D297353CC}">
                <c16:uniqueId val="{00000001-0327-454D-8454-EC99C42C3B63}"/>
              </c:ext>
            </c:extLst>
          </c:dPt>
          <c:cat>
            <c:strRef>
              <c:f>'Top 4 clienti'!$D$10:$D$14</c:f>
              <c:strCache>
                <c:ptCount val="4"/>
                <c:pt idx="0">
                  <c:v>Client A</c:v>
                </c:pt>
                <c:pt idx="1">
                  <c:v>Client B</c:v>
                </c:pt>
                <c:pt idx="2">
                  <c:v>Client C</c:v>
                </c:pt>
                <c:pt idx="3">
                  <c:v>Client D</c:v>
                </c:pt>
              </c:strCache>
            </c:strRef>
          </c:cat>
          <c:val>
            <c:numRef>
              <c:f>'Top 4 clienti'!$E$10:$E$14</c:f>
              <c:numCache>
                <c:formatCode>#,##0\ [$RON]\ </c:formatCode>
                <c:ptCount val="4"/>
                <c:pt idx="0">
                  <c:v>207169</c:v>
                </c:pt>
                <c:pt idx="1">
                  <c:v>182026</c:v>
                </c:pt>
                <c:pt idx="2">
                  <c:v>222096</c:v>
                </c:pt>
                <c:pt idx="3">
                  <c:v>175827</c:v>
                </c:pt>
              </c:numCache>
            </c:numRef>
          </c:val>
          <c:extLst>
            <c:ext xmlns:c16="http://schemas.microsoft.com/office/drawing/2014/chart" uri="{C3380CC4-5D6E-409C-BE32-E72D297353CC}">
              <c16:uniqueId val="{00000002-0327-454D-8454-EC99C42C3B63}"/>
            </c:ext>
          </c:extLst>
        </c:ser>
        <c:dLbls>
          <c:showLegendKey val="0"/>
          <c:showVal val="0"/>
          <c:showCatName val="0"/>
          <c:showSerName val="0"/>
          <c:showPercent val="0"/>
          <c:showBubbleSize val="0"/>
        </c:dLbls>
        <c:gapWidth val="100"/>
        <c:overlap val="-24"/>
        <c:axId val="160202287"/>
        <c:axId val="160203247"/>
      </c:barChart>
      <c:catAx>
        <c:axId val="1602022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203247"/>
        <c:crosses val="autoZero"/>
        <c:auto val="1"/>
        <c:lblAlgn val="ctr"/>
        <c:lblOffset val="100"/>
        <c:noMultiLvlLbl val="0"/>
      </c:catAx>
      <c:valAx>
        <c:axId val="160203247"/>
        <c:scaling>
          <c:orientation val="minMax"/>
        </c:scaling>
        <c:delete val="0"/>
        <c:axPos val="l"/>
        <c:majorGridlines>
          <c:spPr>
            <a:ln w="9525" cap="flat" cmpd="sng" algn="ctr">
              <a:solidFill>
                <a:schemeClr val="tx2">
                  <a:lumMod val="15000"/>
                  <a:lumOff val="85000"/>
                </a:schemeClr>
              </a:solidFill>
              <a:round/>
            </a:ln>
            <a:effectLst/>
          </c:spPr>
        </c:majorGridlines>
        <c:numFmt formatCode="#,##0\ [$RON]\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2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[Analiza_Vanzari_Excel.xlsx]Vanzari totale per produs!Vanzari totale per produs</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Vanzari</a:t>
            </a:r>
            <a:r>
              <a:rPr lang="en-US" baseline="0"/>
              <a:t> per produs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'Vanzari totale per produs'!$E$9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'Vanzari totale per produs'!$D$10:$D$15</c:f>
              <c:strCache>
                <c:ptCount val="5"/>
                <c:pt idx="0">
                  <c:v>Căști</c:v>
                </c:pt>
                <c:pt idx="1">
                  <c:v>Laptop</c:v>
                </c:pt>
                <c:pt idx="2">
                  <c:v>Monitor</c:v>
                </c:pt>
                <c:pt idx="3">
                  <c:v>Tabletă</c:v>
                </c:pt>
                <c:pt idx="4">
                  <c:v>Telefon</c:v>
                </c:pt>
              </c:strCache>
            </c:strRef>
          </c:cat>
          <c:val>
            <c:numRef>
              <c:f>'Vanzari totale per produs'!$E$10:$E$15</c:f>
              <c:numCache>
                <c:formatCode>#,##0\ [$RON]\ </c:formatCode>
                <c:ptCount val="5"/>
                <c:pt idx="0">
                  <c:v>112986</c:v>
                </c:pt>
                <c:pt idx="1">
                  <c:v>176354</c:v>
                </c:pt>
                <c:pt idx="2">
                  <c:v>153299</c:v>
                </c:pt>
                <c:pt idx="3">
                  <c:v>139151</c:v>
                </c:pt>
                <c:pt idx="4">
                  <c:v>205328</c:v>
                </c:pt>
              </c:numCache>
            </c:numRef>
          </c:val>
          <c:extLst>
            <c:ext xmlns:c16="http://schemas.microsoft.com/office/drawing/2014/chart" uri="{C3380CC4-5D6E-409C-BE32-E72D297353CC}">
              <c16:uniqueId val="{00000000-3598-48E9-B8E6-9261A372423A}"/>
            </c:ext>
          </c:extLst>
        </c:ser>
        <c:dLbls>
          <c:showLegendKey val="0"/>
          <c:showVal val="0"/>
          <c:showCatName val="0"/>
          <c:showSerName val="0"/>
          <c:showPercent val="0"/>
          <c:showBubbleSize val="0"/>
        </c:dLbls>
        <c:gapWidth val="100"/>
        <c:overlap val="-24"/>
        <c:axId val="317112895"/>
        <c:axId val="317098015"/>
      </c:barChart>
      <c:catAx>
        <c:axId val="3171128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098015"/>
        <c:crosses val="autoZero"/>
        <c:auto val="1"/>
        <c:lblAlgn val="ctr"/>
        <c:lblOffset val="100"/>
        <c:noMultiLvlLbl val="0"/>
      </c:catAx>
      <c:valAx>
        <c:axId val="317098015"/>
        <c:scaling>
          <c:orientation val="minMax"/>
        </c:scaling>
        <c:delete val="0"/>
        <c:axPos val="l"/>
        <c:majorGridlines>
          <c:spPr>
            <a:ln w="9525" cap="flat" cmpd="sng" algn="ctr">
              <a:solidFill>
                <a:schemeClr val="tx2">
                  <a:lumMod val="15000"/>
                  <a:lumOff val="85000"/>
                </a:schemeClr>
              </a:solidFill>
              <a:round/>
            </a:ln>
            <a:effectLst/>
          </c:spPr>
        </c:majorGridlines>
        <c:numFmt formatCode="#,##0\ [$RON]\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11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[Analiza_Vanzari_Excel.xlsx]Vanzari lunare!Vanzari lunare</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'Vanzari lunare'!$E$9</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'Vanzari lunare'!$D$10:$D$22</c:f>
              <c:strCache>
                <c:ptCount val="12"/>
                <c:pt idx="0">
                  <c:v>Ianuarie</c:v>
                </c:pt>
                <c:pt idx="1">
                  <c:v>Februarie</c:v>
                </c:pt>
                <c:pt idx="2">
                  <c:v>Martie</c:v>
                </c:pt>
                <c:pt idx="3">
                  <c:v>Aprilie</c:v>
                </c:pt>
                <c:pt idx="4">
                  <c:v>Mai</c:v>
                </c:pt>
                <c:pt idx="5">
                  <c:v>Iunie</c:v>
                </c:pt>
                <c:pt idx="6">
                  <c:v>Iulie</c:v>
                </c:pt>
                <c:pt idx="7">
                  <c:v>August</c:v>
                </c:pt>
                <c:pt idx="8">
                  <c:v>Septembrie</c:v>
                </c:pt>
                <c:pt idx="9">
                  <c:v>Octombrie</c:v>
                </c:pt>
                <c:pt idx="10">
                  <c:v>Noiembrie</c:v>
                </c:pt>
                <c:pt idx="11">
                  <c:v>Decembrie</c:v>
                </c:pt>
              </c:strCache>
            </c:strRef>
          </c:cat>
          <c:val>
            <c:numRef>
              <c:f>'Vanzari lunare'!$E$10:$E$22</c:f>
              <c:numCache>
                <c:formatCode>#,##0\ [$RON]\ </c:formatCode>
                <c:ptCount val="12"/>
                <c:pt idx="0">
                  <c:v>63320</c:v>
                </c:pt>
                <c:pt idx="1">
                  <c:v>87517</c:v>
                </c:pt>
                <c:pt idx="2">
                  <c:v>99072</c:v>
                </c:pt>
                <c:pt idx="3">
                  <c:v>58791</c:v>
                </c:pt>
                <c:pt idx="4">
                  <c:v>60162</c:v>
                </c:pt>
                <c:pt idx="5">
                  <c:v>38337</c:v>
                </c:pt>
                <c:pt idx="6">
                  <c:v>40899</c:v>
                </c:pt>
                <c:pt idx="7">
                  <c:v>49063</c:v>
                </c:pt>
                <c:pt idx="8">
                  <c:v>115336</c:v>
                </c:pt>
                <c:pt idx="9">
                  <c:v>48475</c:v>
                </c:pt>
                <c:pt idx="10">
                  <c:v>53494</c:v>
                </c:pt>
                <c:pt idx="11">
                  <c:v>72652</c:v>
                </c:pt>
              </c:numCache>
            </c:numRef>
          </c:val>
          <c:smooth val="0"/>
          <c:extLst>
            <c:ext xmlns:c16="http://schemas.microsoft.com/office/drawing/2014/chart" uri="{C3380CC4-5D6E-409C-BE32-E72D297353CC}">
              <c16:uniqueId val="{00000000-CC88-48F4-807F-FE0D160F0486}"/>
            </c:ext>
          </c:extLst>
        </c:ser>
        <c:dLbls>
          <c:showLegendKey val="0"/>
          <c:showVal val="0"/>
          <c:showCatName val="0"/>
          <c:showSerName val="0"/>
          <c:showPercent val="0"/>
          <c:showBubbleSize val="0"/>
        </c:dLbls>
        <c:marker val="1"/>
        <c:smooth val="0"/>
        <c:axId val="266235215"/>
        <c:axId val="266227055"/>
      </c:lineChart>
      <c:catAx>
        <c:axId val="26623521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227055"/>
        <c:crosses val="autoZero"/>
        <c:auto val="1"/>
        <c:lblAlgn val="ctr"/>
        <c:lblOffset val="100"/>
        <c:noMultiLvlLbl val="0"/>
      </c:catAx>
      <c:valAx>
        <c:axId val="266227055"/>
        <c:scaling>
          <c:orientation val="minMax"/>
        </c:scaling>
        <c:delete val="0"/>
        <c:axPos val="l"/>
        <c:numFmt formatCode="#,##0\ [$RON]\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23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[Analiza_Vanzari_Excel.xlsx]Vanzari per regiune!Vanzari per regiune</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'Vanzari per regiune'!$E$9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C50-4101-A6ED-033599AD63A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C50-4101-A6ED-033599AD63A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0C50-4101-A6ED-033599AD63A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0C50-4101-A6ED-033599AD63A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0C50-4101-A6ED-033599AD6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'Vanzari per regiune'!$D$10:$D$14</c:f>
              <c:strCache>
                <c:ptCount val="4"/>
                <c:pt idx="0">
                  <c:v>Est</c:v>
                </c:pt>
                <c:pt idx="1">
                  <c:v>Nord</c:v>
                </c:pt>
                <c:pt idx="2">
                  <c:v>Sud</c:v>
                </c:pt>
                <c:pt idx="3">
                  <c:v>Vest</c:v>
                </c:pt>
              </c:strCache>
            </c:strRef>
          </c:cat>
          <c:val>
            <c:numRef>
              <c:f>'Vanzari per regiune'!$E$10:$E$14</c:f>
              <c:numCache>
                <c:formatCode>#,##0\ [$RON]\ </c:formatCode>
                <c:ptCount val="4"/>
                <c:pt idx="0">
                  <c:v>207856</c:v>
                </c:pt>
                <c:pt idx="1">
                  <c:v>242382</c:v>
                </c:pt>
                <c:pt idx="2">
                  <c:v>153477</c:v>
                </c:pt>
                <c:pt idx="3">
                  <c:v>183403</c:v>
                </c:pt>
              </c:numCache>
            </c:numRef>
          </c:val>
          <c:extLst>
            <c:ext xmlns:c16="http://schemas.microsoft.com/office/drawing/2014/chart" uri="{C3380CC4-5D6E-409C-BE32-E72D297353CC}">
              <c16:uniqueId val="{0000000A-0C50-4101-A6ED-033599AD63A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[Analiza_Vanzari_Excel.xlsx]Top 4 clienti!Top 4 clienti</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44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4450">
            <a:noFill/>
          </a:ln>
          <a:effectLst>
            <a:softEdge rad="0"/>
          </a:effectLst>
        </c:spPr>
      </c:pivotFmt>
      <c:pivotFmt>
        <c:idx val="2"/>
        <c:spPr>
          <a:solidFill>
            <a:schemeClr val="accent1"/>
          </a:solidFill>
          <a:ln w="44450">
            <a:noFill/>
          </a:ln>
          <a:effectLst/>
        </c:spPr>
      </c:pivotFmt>
    </c:pivotFmts>
    <c:plotArea>
      <c:layout/>
      <c:barChart>
        <c:barDir val="col"/>
        <c:grouping val="clustered"/>
        <c:varyColors val="0"/>
        <c:ser>
          <c:idx val="0"/>
          <c:order val="0"/>
          <c:tx>
            <c:strRef>
              <c:f>'Top 4 clienti'!$E$9</c:f>
              <c:strCache>
                <c:ptCount val="1"/>
                <c:pt idx="0">
                  <c:v>Total</c:v>
                </c:pt>
              </c:strCache>
            </c:strRef>
          </c:tx>
          <c:spPr>
            <a:solidFill>
              <a:schemeClr val="accent1"/>
            </a:solidFill>
            <a:ln w="44450">
              <a:noFill/>
            </a:ln>
            <a:effectLst/>
          </c:spPr>
          <c:invertIfNegative val="0"/>
          <c:dPt>
            <c:idx val="3"/>
            <c:invertIfNegative val="0"/>
            <c:bubble3D val="0"/>
            <c:spPr>
              <a:solidFill>
                <a:schemeClr val="accent1"/>
              </a:solidFill>
              <a:ln w="44450">
                <a:noFill/>
              </a:ln>
              <a:effectLst>
                <a:softEdge rad="0"/>
              </a:effectLst>
            </c:spPr>
            <c:extLst>
              <c:ext xmlns:c16="http://schemas.microsoft.com/office/drawing/2014/chart" uri="{C3380CC4-5D6E-409C-BE32-E72D297353CC}">
                <c16:uniqueId val="{00000003-B52C-42A3-8D40-8514797DF44D}"/>
              </c:ext>
            </c:extLst>
          </c:dPt>
          <c:cat>
            <c:strRef>
              <c:f>'Top 4 clienti'!$D$10:$D$14</c:f>
              <c:strCache>
                <c:ptCount val="4"/>
                <c:pt idx="0">
                  <c:v>Client A</c:v>
                </c:pt>
                <c:pt idx="1">
                  <c:v>Client B</c:v>
                </c:pt>
                <c:pt idx="2">
                  <c:v>Client C</c:v>
                </c:pt>
                <c:pt idx="3">
                  <c:v>Client D</c:v>
                </c:pt>
              </c:strCache>
            </c:strRef>
          </c:cat>
          <c:val>
            <c:numRef>
              <c:f>'Top 4 clienti'!$E$10:$E$14</c:f>
              <c:numCache>
                <c:formatCode>#,##0\ [$RON]\ </c:formatCode>
                <c:ptCount val="4"/>
                <c:pt idx="0">
                  <c:v>207169</c:v>
                </c:pt>
                <c:pt idx="1">
                  <c:v>182026</c:v>
                </c:pt>
                <c:pt idx="2">
                  <c:v>222096</c:v>
                </c:pt>
                <c:pt idx="3">
                  <c:v>175827</c:v>
                </c:pt>
              </c:numCache>
            </c:numRef>
          </c:val>
          <c:extLst>
            <c:ext xmlns:c16="http://schemas.microsoft.com/office/drawing/2014/chart" uri="{C3380CC4-5D6E-409C-BE32-E72D297353CC}">
              <c16:uniqueId val="{00000000-B52C-42A3-8D40-8514797DF44D}"/>
            </c:ext>
          </c:extLst>
        </c:ser>
        <c:dLbls>
          <c:showLegendKey val="0"/>
          <c:showVal val="0"/>
          <c:showCatName val="0"/>
          <c:showSerName val="0"/>
          <c:showPercent val="0"/>
          <c:showBubbleSize val="0"/>
        </c:dLbls>
        <c:gapWidth val="219"/>
        <c:overlap val="-27"/>
        <c:axId val="160202287"/>
        <c:axId val="160203247"/>
      </c:barChart>
      <c:catAx>
        <c:axId val="160202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3247"/>
        <c:crosses val="autoZero"/>
        <c:auto val="1"/>
        <c:lblAlgn val="ctr"/>
        <c:lblOffset val="100"/>
        <c:noMultiLvlLbl val="0"/>
      </c:catAx>
      <c:valAx>
        <c:axId val="160203247"/>
        <c:scaling>
          <c:orientation val="minMax"/>
        </c:scaling>
        <c:delete val="0"/>
        <c:axPos val="l"/>
        <c:majorGridlines>
          <c:spPr>
            <a:ln w="9525" cap="flat" cmpd="sng" algn="ctr">
              <a:solidFill>
                <a:schemeClr val="tx1">
                  <a:lumMod val="15000"/>
                  <a:lumOff val="85000"/>
                </a:schemeClr>
              </a:solidFill>
              <a:round/>
            </a:ln>
            <a:effectLst/>
          </c:spPr>
        </c:majorGridlines>
        <c:numFmt formatCode="#,##0\ [$RON]\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[Analiza_Vanzari_Excel.xlsx]Vanzari totale per produs!Vanzari totale per produs</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'Vanzari totale per produs'!$E$9</c:f>
              <c:strCache>
                <c:ptCount val="1"/>
                <c:pt idx="0">
                  <c:v>Total</c:v>
                </c:pt>
              </c:strCache>
            </c:strRef>
          </c:tx>
          <c:spPr>
            <a:solidFill>
              <a:schemeClr val="accent1"/>
            </a:solidFill>
            <a:ln>
              <a:noFill/>
            </a:ln>
            <a:effectLst/>
          </c:spPr>
          <c:invertIfNegative val="0"/>
          <c:cat>
            <c:strRef>
              <c:f>'Vanzari totale per produs'!$D$10:$D$15</c:f>
              <c:strCache>
                <c:ptCount val="5"/>
                <c:pt idx="0">
                  <c:v>Căști</c:v>
                </c:pt>
                <c:pt idx="1">
                  <c:v>Laptop</c:v>
                </c:pt>
                <c:pt idx="2">
                  <c:v>Monitor</c:v>
                </c:pt>
                <c:pt idx="3">
                  <c:v>Tabletă</c:v>
                </c:pt>
                <c:pt idx="4">
                  <c:v>Telefon</c:v>
                </c:pt>
              </c:strCache>
            </c:strRef>
          </c:cat>
          <c:val>
            <c:numRef>
              <c:f>'Vanzari totale per produs'!$E$10:$E$15</c:f>
              <c:numCache>
                <c:formatCode>#,##0\ [$RON]\ </c:formatCode>
                <c:ptCount val="5"/>
                <c:pt idx="0">
                  <c:v>112986</c:v>
                </c:pt>
                <c:pt idx="1">
                  <c:v>176354</c:v>
                </c:pt>
                <c:pt idx="2">
                  <c:v>153299</c:v>
                </c:pt>
                <c:pt idx="3">
                  <c:v>139151</c:v>
                </c:pt>
                <c:pt idx="4">
                  <c:v>205328</c:v>
                </c:pt>
              </c:numCache>
            </c:numRef>
          </c:val>
          <c:extLst>
            <c:ext xmlns:c16="http://schemas.microsoft.com/office/drawing/2014/chart" uri="{C3380CC4-5D6E-409C-BE32-E72D297353CC}">
              <c16:uniqueId val="{00000000-5F55-4C92-AFDB-4D31136B4275}"/>
            </c:ext>
          </c:extLst>
        </c:ser>
        <c:dLbls>
          <c:showLegendKey val="0"/>
          <c:showVal val="0"/>
          <c:showCatName val="0"/>
          <c:showSerName val="0"/>
          <c:showPercent val="0"/>
          <c:showBubbleSize val="0"/>
        </c:dLbls>
        <c:gapWidth val="219"/>
        <c:overlap val="-27"/>
        <c:axId val="317112895"/>
        <c:axId val="317098015"/>
      </c:barChart>
      <c:catAx>
        <c:axId val="31711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98015"/>
        <c:crosses val="autoZero"/>
        <c:auto val="1"/>
        <c:lblAlgn val="ctr"/>
        <c:lblOffset val="100"/>
        <c:noMultiLvlLbl val="0"/>
      </c:catAx>
      <c:valAx>
        <c:axId val="317098015"/>
        <c:scaling>
          <c:orientation val="minMax"/>
        </c:scaling>
        <c:delete val="0"/>
        <c:axPos val="l"/>
        <c:majorGridlines>
          <c:spPr>
            <a:ln w="9525" cap="flat" cmpd="sng" algn="ctr">
              <a:solidFill>
                <a:schemeClr val="tx1">
                  <a:lumMod val="15000"/>
                  <a:lumOff val="85000"/>
                </a:schemeClr>
              </a:solidFill>
              <a:round/>
            </a:ln>
            <a:effectLst/>
          </c:spPr>
        </c:majorGridlines>
        <c:numFmt formatCode="#,##0\ [$RON]\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1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48083</xdr:colOff>
      <xdr:row>16</xdr:row>
      <xdr:rowOff>148003</xdr:rowOff>
    </xdr:from>
    <xdr:to>
      <xdr:col>15</xdr:col>
      <xdr:colOff>645</xdr:colOff>
      <xdr:row>27</xdr:row>
      <xdr:rowOff>168728</xdr:rowOff>
    </xdr:to>
    <xdr:graphicFrame macro="">
      <xdr:nvGraphicFramePr>
        <xdr:cNvPr id="2" name="Chart 1">
          <a:extLst>
            <a:ext uri="{FF2B5EF4-FFF2-40B4-BE49-F238E27FC236}">
              <a16:creationId xmlns:a16="http://schemas.microsoft.com/office/drawing/2014/main" id="{C63C6670-B98E-4AB2-9695-55834FA5F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252046</xdr:colOff>
      <xdr:row>6</xdr:row>
      <xdr:rowOff>55686</xdr:rowOff>
    </xdr:from>
    <xdr:to>
      <xdr:col>15</xdr:col>
      <xdr:colOff>342</xdr:colOff>
      <xdr:row>16</xdr:row>
      <xdr:rowOff>93786</xdr:rowOff>
    </xdr:to>
    <xdr:graphicFrame macro="">
      <xdr:nvGraphicFramePr>
        <xdr:cNvPr id="3" name="Chart 2">
          <a:extLst>
            <a:ext uri="{FF2B5EF4-FFF2-40B4-BE49-F238E27FC236}">
              <a16:creationId xmlns:a16="http://schemas.microsoft.com/office/drawing/2014/main" id="{56EC9E7B-3C6C-491A-8704-B3F4352B7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41413</xdr:colOff>
      <xdr:row>6</xdr:row>
      <xdr:rowOff>60380</xdr:rowOff>
    </xdr:from>
    <xdr:to>
      <xdr:col>9</xdr:col>
      <xdr:colOff>166160</xdr:colOff>
      <xdr:row>16</xdr:row>
      <xdr:rowOff>91152</xdr:rowOff>
    </xdr:to>
    <xdr:graphicFrame macro="">
      <xdr:nvGraphicFramePr>
        <xdr:cNvPr id="7" name="Chart 6">
          <a:extLst>
            <a:ext uri="{FF2B5EF4-FFF2-40B4-BE49-F238E27FC236}">
              <a16:creationId xmlns:a16="http://schemas.microsoft.com/office/drawing/2014/main" id="{CC32445D-D6FF-08C1-CB94-1D7876A51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49696</xdr:colOff>
      <xdr:row>16</xdr:row>
      <xdr:rowOff>146104</xdr:rowOff>
    </xdr:from>
    <xdr:to>
      <xdr:col>7</xdr:col>
      <xdr:colOff>576102</xdr:colOff>
      <xdr:row>27</xdr:row>
      <xdr:rowOff>168519</xdr:rowOff>
    </xdr:to>
    <xdr:graphicFrame macro="">
      <xdr:nvGraphicFramePr>
        <xdr:cNvPr id="8" name="Chart 7">
          <a:extLst>
            <a:ext uri="{FF2B5EF4-FFF2-40B4-BE49-F238E27FC236}">
              <a16:creationId xmlns:a16="http://schemas.microsoft.com/office/drawing/2014/main" id="{6622BC9B-A2B5-8CCA-EA1B-E4490370F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40359</xdr:colOff>
      <xdr:row>6</xdr:row>
      <xdr:rowOff>57187</xdr:rowOff>
    </xdr:from>
    <xdr:to>
      <xdr:col>3</xdr:col>
      <xdr:colOff>4330</xdr:colOff>
      <xdr:row>13</xdr:row>
      <xdr:rowOff>173557</xdr:rowOff>
    </xdr:to>
    <mc:AlternateContent xmlns:mc="http://schemas.openxmlformats.org/markup-compatibility/2006" xmlns:a14="http://schemas.microsoft.com/office/drawing/2010/main">
      <mc:Choice Requires="a14">
        <xdr:graphicFrame macro="">
          <xdr:nvGraphicFramePr>
            <xdr:cNvPr id="11" name="Regiune">
              <a:extLst>
                <a:ext uri="{FF2B5EF4-FFF2-40B4-BE49-F238E27FC236}">
                  <a16:creationId xmlns:a16="http://schemas.microsoft.com/office/drawing/2014/main" id="{69537D26-78A7-AD0A-CD3F-F973CA74B08E}"/>
                </a:ext>
              </a:extLst>
            </xdr:cNvPr>
            <xdr:cNvGraphicFramePr/>
          </xdr:nvGraphicFramePr>
          <xdr:xfrm>
            <a:off x="0" y="0"/>
            <a:ext cx="0" cy="0"/>
          </xdr:xfrm>
          <a:graphic>
            <a:graphicData uri="http://schemas.microsoft.com/office/drawing/2010/slicer">
              <sle:slicer xmlns:sle="http://schemas.microsoft.com/office/drawing/2010/slicer" name="Regiune"/>
            </a:graphicData>
          </a:graphic>
        </xdr:graphicFrame>
      </mc:Choice>
      <mc:Fallback xmlns="">
        <xdr:sp macro="" textlink="">
          <xdr:nvSpPr>
            <xdr:cNvPr id="0" name=""/>
            <xdr:cNvSpPr>
              <a:spLocks noTextEdit="1"/>
            </xdr:cNvSpPr>
          </xdr:nvSpPr>
          <xdr:spPr>
            <a:xfrm>
              <a:off x="40359" y="1200187"/>
              <a:ext cx="1802710" cy="1449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38101</xdr:colOff>
      <xdr:row>14</xdr:row>
      <xdr:rowOff>18317</xdr:rowOff>
    </xdr:from>
    <xdr:to>
      <xdr:col>3</xdr:col>
      <xdr:colOff>3635</xdr:colOff>
      <xdr:row>23</xdr:row>
      <xdr:rowOff>21980</xdr:rowOff>
    </xdr:to>
    <mc:AlternateContent xmlns:mc="http://schemas.openxmlformats.org/markup-compatibility/2006" xmlns:a14="http://schemas.microsoft.com/office/drawing/2010/main">
      <mc:Choice Requires="a14">
        <xdr:graphicFrame macro="">
          <xdr:nvGraphicFramePr>
            <xdr:cNvPr id="12" name="Produs">
              <a:extLst>
                <a:ext uri="{FF2B5EF4-FFF2-40B4-BE49-F238E27FC236}">
                  <a16:creationId xmlns:a16="http://schemas.microsoft.com/office/drawing/2014/main" id="{979EEFE5-B6CD-9162-6007-D07831084308}"/>
                </a:ext>
              </a:extLst>
            </xdr:cNvPr>
            <xdr:cNvGraphicFramePr/>
          </xdr:nvGraphicFramePr>
          <xdr:xfrm>
            <a:off x="0" y="0"/>
            <a:ext cx="0" cy="0"/>
          </xdr:xfrm>
          <a:graphic>
            <a:graphicData uri="http://schemas.microsoft.com/office/drawing/2010/slicer">
              <sle:slicer xmlns:sle="http://schemas.microsoft.com/office/drawing/2010/slicer" name="Produs"/>
            </a:graphicData>
          </a:graphic>
        </xdr:graphicFrame>
      </mc:Choice>
      <mc:Fallback xmlns="">
        <xdr:sp macro="" textlink="">
          <xdr:nvSpPr>
            <xdr:cNvPr id="0" name=""/>
            <xdr:cNvSpPr>
              <a:spLocks noTextEdit="1"/>
            </xdr:cNvSpPr>
          </xdr:nvSpPr>
          <xdr:spPr>
            <a:xfrm>
              <a:off x="38101" y="2685317"/>
              <a:ext cx="1804273" cy="1718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38098</xdr:colOff>
      <xdr:row>23</xdr:row>
      <xdr:rowOff>51289</xdr:rowOff>
    </xdr:from>
    <xdr:to>
      <xdr:col>3</xdr:col>
      <xdr:colOff>5918</xdr:colOff>
      <xdr:row>31</xdr:row>
      <xdr:rowOff>29308</xdr:rowOff>
    </xdr:to>
    <mc:AlternateContent xmlns:mc="http://schemas.openxmlformats.org/markup-compatibility/2006" xmlns:a14="http://schemas.microsoft.com/office/drawing/2010/main">
      <mc:Choice Requires="a14">
        <xdr:graphicFrame macro="">
          <xdr:nvGraphicFramePr>
            <xdr:cNvPr id="16" name="Luna">
              <a:extLst>
                <a:ext uri="{FF2B5EF4-FFF2-40B4-BE49-F238E27FC236}">
                  <a16:creationId xmlns:a16="http://schemas.microsoft.com/office/drawing/2014/main" id="{5F766765-1E83-E1DA-4488-AEF706CA1F9B}"/>
                </a:ext>
              </a:extLst>
            </xdr:cNvPr>
            <xdr:cNvGraphicFramePr/>
          </xdr:nvGraphicFramePr>
          <xdr:xfrm>
            <a:off x="0" y="0"/>
            <a:ext cx="0" cy="0"/>
          </xdr:xfrm>
          <a:graphic>
            <a:graphicData uri="http://schemas.microsoft.com/office/drawing/2010/slicer">
              <sle:slicer xmlns:sle="http://schemas.microsoft.com/office/drawing/2010/slicer" name="Luna"/>
            </a:graphicData>
          </a:graphic>
        </xdr:graphicFrame>
      </mc:Choice>
      <mc:Fallback xmlns="">
        <xdr:sp macro="" textlink="">
          <xdr:nvSpPr>
            <xdr:cNvPr id="0" name=""/>
            <xdr:cNvSpPr>
              <a:spLocks noTextEdit="1"/>
            </xdr:cNvSpPr>
          </xdr:nvSpPr>
          <xdr:spPr>
            <a:xfrm>
              <a:off x="38098" y="4432789"/>
              <a:ext cx="1806559" cy="150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494566</xdr:colOff>
      <xdr:row>23</xdr:row>
      <xdr:rowOff>5861</xdr:rowOff>
    </xdr:from>
    <xdr:to>
      <xdr:col>5</xdr:col>
      <xdr:colOff>1307854</xdr:colOff>
      <xdr:row>37</xdr:row>
      <xdr:rowOff>82061</xdr:rowOff>
    </xdr:to>
    <xdr:graphicFrame macro="">
      <xdr:nvGraphicFramePr>
        <xdr:cNvPr id="3" name="Chart 2">
          <a:extLst>
            <a:ext uri="{FF2B5EF4-FFF2-40B4-BE49-F238E27FC236}">
              <a16:creationId xmlns:a16="http://schemas.microsoft.com/office/drawing/2014/main" id="{BF0AF550-4AB1-6BF7-BDCF-BEC033F67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919370</xdr:colOff>
      <xdr:row>16</xdr:row>
      <xdr:rowOff>185531</xdr:rowOff>
    </xdr:from>
    <xdr:to>
      <xdr:col>5</xdr:col>
      <xdr:colOff>571500</xdr:colOff>
      <xdr:row>27</xdr:row>
      <xdr:rowOff>33131</xdr:rowOff>
    </xdr:to>
    <xdr:graphicFrame macro="">
      <xdr:nvGraphicFramePr>
        <xdr:cNvPr id="2" name="Chart 1">
          <a:extLst>
            <a:ext uri="{FF2B5EF4-FFF2-40B4-BE49-F238E27FC236}">
              <a16:creationId xmlns:a16="http://schemas.microsoft.com/office/drawing/2014/main" id="{284611DF-78C5-4017-A6E0-416543CF7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465260</xdr:colOff>
      <xdr:row>15</xdr:row>
      <xdr:rowOff>5862</xdr:rowOff>
    </xdr:from>
    <xdr:to>
      <xdr:col>5</xdr:col>
      <xdr:colOff>1278548</xdr:colOff>
      <xdr:row>29</xdr:row>
      <xdr:rowOff>82062</xdr:rowOff>
    </xdr:to>
    <xdr:graphicFrame macro="">
      <xdr:nvGraphicFramePr>
        <xdr:cNvPr id="7" name="Chart 6">
          <a:extLst>
            <a:ext uri="{FF2B5EF4-FFF2-40B4-BE49-F238E27FC236}">
              <a16:creationId xmlns:a16="http://schemas.microsoft.com/office/drawing/2014/main" id="{F6A13CCD-F283-8D18-2443-25E69E619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252779</xdr:colOff>
      <xdr:row>16</xdr:row>
      <xdr:rowOff>5862</xdr:rowOff>
    </xdr:from>
    <xdr:to>
      <xdr:col>5</xdr:col>
      <xdr:colOff>1066067</xdr:colOff>
      <xdr:row>30</xdr:row>
      <xdr:rowOff>82062</xdr:rowOff>
    </xdr:to>
    <xdr:graphicFrame macro="">
      <xdr:nvGraphicFramePr>
        <xdr:cNvPr id="7" name="Chart 6">
          <a:extLst>
            <a:ext uri="{FF2B5EF4-FFF2-40B4-BE49-F238E27FC236}">
              <a16:creationId xmlns:a16="http://schemas.microsoft.com/office/drawing/2014/main" id="{4B02CA83-0850-3C91-C184-4418548F0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u Chis" refreshedDate="46317.978471527778" createdVersion="8" refreshedVersion="8" minRefreshableVersion="3" recordCount="150" xr:uid="{F90AC305-325D-4346-BE82-34C2447A26AD}">
  <cacheSource type="worksheet">
    <worksheetSource name="Analiza_vanzari"/>
  </cacheSource>
  <cacheFields count="9">
    <cacheField name="Data" numFmtId="14">
      <sharedItems/>
    </cacheField>
    <cacheField name="Data Corecta" numFmtId="164">
      <sharedItems containsSemiMixedTypes="0" containsNonDate="0" containsDate="1" containsString="0" minDate="2023-01-05T00:00:00" maxDate="2023-12-30T00:00:00"/>
    </cacheField>
    <cacheField name="Luna" numFmtId="14">
      <sharedItems count="12">
        <s v="Ianuarie"/>
        <s v="Februarie"/>
        <s v="Martie"/>
        <s v="Aprilie"/>
        <s v="Iunie"/>
        <s v="Iulie"/>
        <s v="August"/>
        <s v="Septembrie"/>
        <s v="Octombrie"/>
        <s v="Noiembrie"/>
        <s v="Decembrie"/>
        <s v="Mai"/>
      </sharedItems>
    </cacheField>
    <cacheField name="Produs" numFmtId="0">
      <sharedItems count="5">
        <s v="Telefon"/>
        <s v="Laptop"/>
        <s v="Monitor"/>
        <s v="Tabletă"/>
        <s v="Căști"/>
      </sharedItems>
    </cacheField>
    <cacheField name="Regiune" numFmtId="0">
      <sharedItems count="4">
        <s v="Nord"/>
        <s v="Est"/>
        <s v="Vest"/>
        <s v="Sud"/>
      </sharedItems>
    </cacheField>
    <cacheField name="Client" numFmtId="0">
      <sharedItems count="4">
        <s v="Client A"/>
        <s v="Client D"/>
        <s v="Client C"/>
        <s v="Client B"/>
      </sharedItems>
    </cacheField>
    <cacheField name="Cantitate" numFmtId="0">
      <sharedItems containsSemiMixedTypes="0" containsString="0" containsNumber="1" containsInteger="1" minValue="1" maxValue="5"/>
    </cacheField>
    <cacheField name="Preț unitar (lei)" numFmtId="165">
      <sharedItems containsSemiMixedTypes="0" containsString="0" containsNumber="1" containsInteger="1" minValue="103" maxValue="2994"/>
    </cacheField>
    <cacheField name="Total vânzare (lei)" numFmtId="165">
      <sharedItems containsSemiMixedTypes="0" containsString="0" containsNumber="1" containsInteger="1" minValue="128" maxValue="14720"/>
    </cacheField>
  </cacheFields>
  <extLst>
    <ext xmlns:x14="http://schemas.microsoft.com/office/spreadsheetml/2009/9/main" uri="{725AE2AE-9491-48be-B2B4-4EB974FC3084}">
      <x14:pivotCacheDefinition pivotCacheId="934453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27.01.2023"/>
    <d v="2023-01-27T00:00:00"/>
    <x v="0"/>
    <x v="0"/>
    <x v="0"/>
    <x v="0"/>
    <n v="3"/>
    <n v="1175"/>
    <n v="3525"/>
  </r>
  <r>
    <s v="11.01.2023"/>
    <d v="2023-01-11T00:00:00"/>
    <x v="0"/>
    <x v="1"/>
    <x v="1"/>
    <x v="1"/>
    <n v="3"/>
    <n v="1595"/>
    <n v="4785"/>
  </r>
  <r>
    <s v="08.01.2023"/>
    <d v="2023-01-08T00:00:00"/>
    <x v="0"/>
    <x v="2"/>
    <x v="0"/>
    <x v="1"/>
    <n v="5"/>
    <n v="2450"/>
    <n v="12250"/>
  </r>
  <r>
    <s v="29.01.2023"/>
    <d v="2023-01-29T00:00:00"/>
    <x v="0"/>
    <x v="3"/>
    <x v="0"/>
    <x v="1"/>
    <n v="4"/>
    <n v="2742"/>
    <n v="10968"/>
  </r>
  <r>
    <s v="12.01.2023"/>
    <d v="2023-01-12T00:00:00"/>
    <x v="0"/>
    <x v="1"/>
    <x v="1"/>
    <x v="2"/>
    <n v="3"/>
    <n v="535"/>
    <n v="1605"/>
  </r>
  <r>
    <s v="31.01.2023"/>
    <d v="2023-01-31T00:00:00"/>
    <x v="0"/>
    <x v="0"/>
    <x v="0"/>
    <x v="2"/>
    <n v="2"/>
    <n v="1847"/>
    <n v="3694"/>
  </r>
  <r>
    <s v="12.01.2023"/>
    <d v="2023-01-12T00:00:00"/>
    <x v="0"/>
    <x v="1"/>
    <x v="2"/>
    <x v="3"/>
    <n v="2"/>
    <n v="2917"/>
    <n v="5834"/>
  </r>
  <r>
    <s v="16.01.2023"/>
    <d v="2023-01-16T00:00:00"/>
    <x v="0"/>
    <x v="4"/>
    <x v="1"/>
    <x v="3"/>
    <n v="4"/>
    <n v="2988"/>
    <n v="11952"/>
  </r>
  <r>
    <s v="23.01.2023"/>
    <d v="2023-01-23T00:00:00"/>
    <x v="0"/>
    <x v="1"/>
    <x v="3"/>
    <x v="2"/>
    <n v="1"/>
    <n v="2989"/>
    <n v="2989"/>
  </r>
  <r>
    <s v="07.01.2023"/>
    <d v="2023-01-07T00:00:00"/>
    <x v="0"/>
    <x v="1"/>
    <x v="1"/>
    <x v="2"/>
    <n v="1"/>
    <n v="444"/>
    <n v="444"/>
  </r>
  <r>
    <s v="05.01.2023"/>
    <d v="2023-01-05T00:00:00"/>
    <x v="0"/>
    <x v="0"/>
    <x v="1"/>
    <x v="0"/>
    <n v="3"/>
    <n v="1758"/>
    <n v="5274"/>
  </r>
  <r>
    <s v="19.02.2023"/>
    <d v="2023-02-19T00:00:00"/>
    <x v="1"/>
    <x v="3"/>
    <x v="2"/>
    <x v="2"/>
    <n v="2"/>
    <n v="1257"/>
    <n v="2514"/>
  </r>
  <r>
    <s v="21.02.2023"/>
    <d v="2023-02-21T00:00:00"/>
    <x v="1"/>
    <x v="0"/>
    <x v="3"/>
    <x v="0"/>
    <n v="1"/>
    <n v="1267"/>
    <n v="1267"/>
  </r>
  <r>
    <s v="06.02.2023"/>
    <d v="2023-02-06T00:00:00"/>
    <x v="1"/>
    <x v="2"/>
    <x v="3"/>
    <x v="2"/>
    <n v="5"/>
    <n v="1162"/>
    <n v="5810"/>
  </r>
  <r>
    <s v="20.02.2023"/>
    <d v="2023-02-20T00:00:00"/>
    <x v="1"/>
    <x v="3"/>
    <x v="0"/>
    <x v="1"/>
    <n v="3"/>
    <n v="1376"/>
    <n v="4128"/>
  </r>
  <r>
    <s v="04.02.2023"/>
    <d v="2023-02-04T00:00:00"/>
    <x v="1"/>
    <x v="4"/>
    <x v="3"/>
    <x v="3"/>
    <n v="4"/>
    <n v="2458"/>
    <n v="9832"/>
  </r>
  <r>
    <s v="15.02.2023"/>
    <d v="2023-02-15T00:00:00"/>
    <x v="1"/>
    <x v="2"/>
    <x v="0"/>
    <x v="3"/>
    <n v="5"/>
    <n v="712"/>
    <n v="3560"/>
  </r>
  <r>
    <s v="02.02.2023"/>
    <d v="2023-02-02T00:00:00"/>
    <x v="1"/>
    <x v="0"/>
    <x v="2"/>
    <x v="2"/>
    <n v="4"/>
    <n v="2979"/>
    <n v="11916"/>
  </r>
  <r>
    <s v="23.02.2023"/>
    <d v="2023-02-23T00:00:00"/>
    <x v="1"/>
    <x v="2"/>
    <x v="1"/>
    <x v="0"/>
    <n v="4"/>
    <n v="1926"/>
    <n v="7704"/>
  </r>
  <r>
    <s v="25.02.2023"/>
    <d v="2023-02-25T00:00:00"/>
    <x v="1"/>
    <x v="0"/>
    <x v="0"/>
    <x v="0"/>
    <n v="4"/>
    <n v="1643"/>
    <n v="6572"/>
  </r>
  <r>
    <s v="20.02.2023"/>
    <d v="2023-02-20T00:00:00"/>
    <x v="1"/>
    <x v="0"/>
    <x v="2"/>
    <x v="3"/>
    <n v="1"/>
    <n v="2102"/>
    <n v="2102"/>
  </r>
  <r>
    <s v="06.02.2023"/>
    <d v="2023-02-06T00:00:00"/>
    <x v="1"/>
    <x v="0"/>
    <x v="1"/>
    <x v="0"/>
    <n v="1"/>
    <n v="2863"/>
    <n v="2863"/>
  </r>
  <r>
    <s v="19.02.2023"/>
    <d v="2023-02-19T00:00:00"/>
    <x v="1"/>
    <x v="3"/>
    <x v="0"/>
    <x v="2"/>
    <n v="4"/>
    <n v="1273"/>
    <n v="5092"/>
  </r>
  <r>
    <s v="17.02.2023"/>
    <d v="2023-02-17T00:00:00"/>
    <x v="1"/>
    <x v="0"/>
    <x v="3"/>
    <x v="0"/>
    <n v="3"/>
    <n v="1616"/>
    <n v="4848"/>
  </r>
  <r>
    <s v="18.02.2023"/>
    <d v="2023-02-18T00:00:00"/>
    <x v="1"/>
    <x v="4"/>
    <x v="2"/>
    <x v="3"/>
    <n v="1"/>
    <n v="1379"/>
    <n v="1379"/>
  </r>
  <r>
    <s v="11.02.2023"/>
    <d v="2023-02-11T00:00:00"/>
    <x v="1"/>
    <x v="3"/>
    <x v="2"/>
    <x v="2"/>
    <n v="4"/>
    <n v="1968"/>
    <n v="7872"/>
  </r>
  <r>
    <s v="14.02.2023"/>
    <d v="2023-02-14T00:00:00"/>
    <x v="1"/>
    <x v="4"/>
    <x v="2"/>
    <x v="3"/>
    <n v="2"/>
    <n v="2925"/>
    <n v="5850"/>
  </r>
  <r>
    <s v="22.02.2023"/>
    <d v="2023-02-22T00:00:00"/>
    <x v="1"/>
    <x v="0"/>
    <x v="2"/>
    <x v="0"/>
    <n v="4"/>
    <n v="1052"/>
    <n v="4208"/>
  </r>
  <r>
    <s v="10.03.2023"/>
    <d v="2023-03-10T00:00:00"/>
    <x v="2"/>
    <x v="1"/>
    <x v="2"/>
    <x v="0"/>
    <n v="3"/>
    <n v="2529"/>
    <n v="7587"/>
  </r>
  <r>
    <s v="21.03.2023"/>
    <d v="2023-03-21T00:00:00"/>
    <x v="2"/>
    <x v="2"/>
    <x v="3"/>
    <x v="3"/>
    <n v="5"/>
    <n v="1617"/>
    <n v="8085"/>
  </r>
  <r>
    <s v="15.03.2023"/>
    <d v="2023-03-15T00:00:00"/>
    <x v="2"/>
    <x v="2"/>
    <x v="1"/>
    <x v="2"/>
    <n v="3"/>
    <n v="440"/>
    <n v="1320"/>
  </r>
  <r>
    <s v="01.03.2023"/>
    <d v="2023-03-01T00:00:00"/>
    <x v="2"/>
    <x v="2"/>
    <x v="0"/>
    <x v="0"/>
    <n v="5"/>
    <n v="2944"/>
    <n v="14720"/>
  </r>
  <r>
    <s v="27.03.2023"/>
    <d v="2023-03-27T00:00:00"/>
    <x v="2"/>
    <x v="0"/>
    <x v="1"/>
    <x v="0"/>
    <n v="5"/>
    <n v="2435"/>
    <n v="12175"/>
  </r>
  <r>
    <s v="08.03.2023"/>
    <d v="2023-03-08T00:00:00"/>
    <x v="2"/>
    <x v="2"/>
    <x v="1"/>
    <x v="2"/>
    <n v="5"/>
    <n v="1102"/>
    <n v="5510"/>
  </r>
  <r>
    <s v="20.03.2023"/>
    <d v="2023-03-20T00:00:00"/>
    <x v="2"/>
    <x v="3"/>
    <x v="0"/>
    <x v="2"/>
    <n v="2"/>
    <n v="611"/>
    <n v="1222"/>
  </r>
  <r>
    <s v="09.03.2023"/>
    <d v="2023-03-09T00:00:00"/>
    <x v="2"/>
    <x v="1"/>
    <x v="1"/>
    <x v="0"/>
    <n v="5"/>
    <n v="800"/>
    <n v="4000"/>
  </r>
  <r>
    <s v="19.03.2023"/>
    <d v="2023-03-19T00:00:00"/>
    <x v="2"/>
    <x v="4"/>
    <x v="0"/>
    <x v="0"/>
    <n v="3"/>
    <n v="788"/>
    <n v="2364"/>
  </r>
  <r>
    <s v="02.03.2023"/>
    <d v="2023-03-02T00:00:00"/>
    <x v="2"/>
    <x v="0"/>
    <x v="3"/>
    <x v="1"/>
    <n v="4"/>
    <n v="1093"/>
    <n v="4372"/>
  </r>
  <r>
    <s v="29.03.2023"/>
    <d v="2023-03-29T00:00:00"/>
    <x v="2"/>
    <x v="4"/>
    <x v="0"/>
    <x v="1"/>
    <n v="2"/>
    <n v="2438"/>
    <n v="4876"/>
  </r>
  <r>
    <s v="05.03.2023"/>
    <d v="2023-03-05T00:00:00"/>
    <x v="2"/>
    <x v="1"/>
    <x v="0"/>
    <x v="0"/>
    <n v="5"/>
    <n v="2719"/>
    <n v="13595"/>
  </r>
  <r>
    <s v="17.03.2023"/>
    <d v="2023-03-17T00:00:00"/>
    <x v="2"/>
    <x v="0"/>
    <x v="2"/>
    <x v="3"/>
    <n v="5"/>
    <n v="1514"/>
    <n v="7570"/>
  </r>
  <r>
    <s v="08.03.2023"/>
    <d v="2023-03-08T00:00:00"/>
    <x v="2"/>
    <x v="1"/>
    <x v="0"/>
    <x v="1"/>
    <n v="4"/>
    <n v="2919"/>
    <n v="11676"/>
  </r>
  <r>
    <s v="01.04.2023"/>
    <d v="2023-04-01T00:00:00"/>
    <x v="3"/>
    <x v="0"/>
    <x v="3"/>
    <x v="0"/>
    <n v="5"/>
    <n v="840"/>
    <n v="4200"/>
  </r>
  <r>
    <s v="14.04.2023"/>
    <d v="2023-04-14T00:00:00"/>
    <x v="3"/>
    <x v="1"/>
    <x v="3"/>
    <x v="1"/>
    <n v="4"/>
    <n v="2713"/>
    <n v="10852"/>
  </r>
  <r>
    <s v="14.04.2023"/>
    <d v="2023-04-14T00:00:00"/>
    <x v="3"/>
    <x v="3"/>
    <x v="0"/>
    <x v="1"/>
    <n v="1"/>
    <n v="1045"/>
    <n v="1045"/>
  </r>
  <r>
    <s v="01.04.2023"/>
    <d v="2023-04-01T00:00:00"/>
    <x v="3"/>
    <x v="0"/>
    <x v="3"/>
    <x v="3"/>
    <n v="2"/>
    <n v="1660"/>
    <n v="3320"/>
  </r>
  <r>
    <s v="28.04.2023"/>
    <d v="2023-04-28T00:00:00"/>
    <x v="3"/>
    <x v="1"/>
    <x v="0"/>
    <x v="0"/>
    <n v="2"/>
    <n v="2954"/>
    <n v="5908"/>
  </r>
  <r>
    <s v="04.04.2023"/>
    <d v="2023-04-04T00:00:00"/>
    <x v="3"/>
    <x v="3"/>
    <x v="1"/>
    <x v="3"/>
    <n v="2"/>
    <n v="2432"/>
    <n v="4864"/>
  </r>
  <r>
    <s v="22.04.2023"/>
    <d v="2023-04-22T00:00:00"/>
    <x v="3"/>
    <x v="3"/>
    <x v="0"/>
    <x v="3"/>
    <n v="3"/>
    <n v="364"/>
    <n v="1092"/>
  </r>
  <r>
    <s v="16.04.2023"/>
    <d v="2023-04-16T00:00:00"/>
    <x v="3"/>
    <x v="2"/>
    <x v="2"/>
    <x v="3"/>
    <n v="4"/>
    <n v="103"/>
    <n v="412"/>
  </r>
  <r>
    <s v="29.04.2023"/>
    <d v="2023-04-29T00:00:00"/>
    <x v="3"/>
    <x v="1"/>
    <x v="3"/>
    <x v="1"/>
    <n v="5"/>
    <n v="480"/>
    <n v="2400"/>
  </r>
  <r>
    <s v="14.04.2023"/>
    <d v="2023-04-14T00:00:00"/>
    <x v="3"/>
    <x v="3"/>
    <x v="2"/>
    <x v="2"/>
    <n v="3"/>
    <n v="1432"/>
    <n v="4296"/>
  </r>
  <r>
    <s v="19.04.2023"/>
    <d v="2023-04-19T00:00:00"/>
    <x v="3"/>
    <x v="1"/>
    <x v="1"/>
    <x v="2"/>
    <n v="1"/>
    <n v="490"/>
    <n v="490"/>
  </r>
  <r>
    <s v="10.04.2023"/>
    <d v="2023-04-10T00:00:00"/>
    <x v="3"/>
    <x v="0"/>
    <x v="0"/>
    <x v="0"/>
    <n v="2"/>
    <n v="890"/>
    <n v="1780"/>
  </r>
  <r>
    <s v="13.04.2023"/>
    <d v="2023-04-13T00:00:00"/>
    <x v="3"/>
    <x v="2"/>
    <x v="3"/>
    <x v="1"/>
    <n v="1"/>
    <n v="731"/>
    <n v="731"/>
  </r>
  <r>
    <s v="27.04.2023"/>
    <d v="2023-04-27T00:00:00"/>
    <x v="3"/>
    <x v="1"/>
    <x v="3"/>
    <x v="0"/>
    <n v="1"/>
    <n v="645"/>
    <n v="645"/>
  </r>
  <r>
    <s v="24.04.2023"/>
    <d v="2023-04-24T00:00:00"/>
    <x v="3"/>
    <x v="2"/>
    <x v="2"/>
    <x v="1"/>
    <n v="2"/>
    <n v="1265"/>
    <n v="2530"/>
  </r>
  <r>
    <s v="11.04.2023"/>
    <d v="2023-04-11T00:00:00"/>
    <x v="3"/>
    <x v="0"/>
    <x v="0"/>
    <x v="0"/>
    <n v="5"/>
    <n v="1050"/>
    <n v="5250"/>
  </r>
  <r>
    <s v="25.04.2023"/>
    <d v="2023-04-25T00:00:00"/>
    <x v="3"/>
    <x v="0"/>
    <x v="0"/>
    <x v="3"/>
    <n v="3"/>
    <n v="2992"/>
    <n v="8976"/>
  </r>
  <r>
    <s v="18.06.2023"/>
    <d v="2023-06-18T00:00:00"/>
    <x v="4"/>
    <x v="4"/>
    <x v="1"/>
    <x v="1"/>
    <n v="1"/>
    <n v="2471"/>
    <n v="2471"/>
  </r>
  <r>
    <s v="11.06.2023"/>
    <d v="2023-06-11T00:00:00"/>
    <x v="4"/>
    <x v="3"/>
    <x v="2"/>
    <x v="2"/>
    <n v="3"/>
    <n v="1905"/>
    <n v="5715"/>
  </r>
  <r>
    <s v="19.06.2023"/>
    <d v="2023-06-19T00:00:00"/>
    <x v="4"/>
    <x v="1"/>
    <x v="1"/>
    <x v="1"/>
    <n v="4"/>
    <n v="1805"/>
    <n v="7220"/>
  </r>
  <r>
    <s v="22.06.2023"/>
    <d v="2023-06-22T00:00:00"/>
    <x v="4"/>
    <x v="4"/>
    <x v="3"/>
    <x v="3"/>
    <n v="2"/>
    <n v="208"/>
    <n v="416"/>
  </r>
  <r>
    <s v="03.06.2023"/>
    <d v="2023-06-03T00:00:00"/>
    <x v="4"/>
    <x v="2"/>
    <x v="0"/>
    <x v="0"/>
    <n v="4"/>
    <n v="2568"/>
    <n v="10272"/>
  </r>
  <r>
    <s v="05.06.2023"/>
    <d v="2023-06-05T00:00:00"/>
    <x v="4"/>
    <x v="4"/>
    <x v="2"/>
    <x v="1"/>
    <n v="1"/>
    <n v="2873"/>
    <n v="2873"/>
  </r>
  <r>
    <s v="27.06.2023"/>
    <d v="2023-06-27T00:00:00"/>
    <x v="4"/>
    <x v="3"/>
    <x v="0"/>
    <x v="2"/>
    <n v="3"/>
    <n v="1874"/>
    <n v="5622"/>
  </r>
  <r>
    <s v="29.06.2023"/>
    <d v="2023-06-29T00:00:00"/>
    <x v="4"/>
    <x v="3"/>
    <x v="3"/>
    <x v="2"/>
    <n v="1"/>
    <n v="1276"/>
    <n v="1276"/>
  </r>
  <r>
    <s v="27.06.2023"/>
    <d v="2023-06-27T00:00:00"/>
    <x v="4"/>
    <x v="2"/>
    <x v="1"/>
    <x v="1"/>
    <n v="4"/>
    <n v="618"/>
    <n v="2472"/>
  </r>
  <r>
    <s v="10.07.2023"/>
    <d v="2023-07-10T00:00:00"/>
    <x v="5"/>
    <x v="1"/>
    <x v="2"/>
    <x v="3"/>
    <n v="3"/>
    <n v="846"/>
    <n v="2538"/>
  </r>
  <r>
    <s v="06.07.2023"/>
    <d v="2023-07-06T00:00:00"/>
    <x v="5"/>
    <x v="3"/>
    <x v="1"/>
    <x v="2"/>
    <n v="3"/>
    <n v="1548"/>
    <n v="4644"/>
  </r>
  <r>
    <s v="01.07.2023"/>
    <d v="2023-07-01T00:00:00"/>
    <x v="5"/>
    <x v="3"/>
    <x v="2"/>
    <x v="2"/>
    <n v="2"/>
    <n v="585"/>
    <n v="1170"/>
  </r>
  <r>
    <s v="09.07.2023"/>
    <d v="2023-07-09T00:00:00"/>
    <x v="5"/>
    <x v="0"/>
    <x v="2"/>
    <x v="2"/>
    <n v="5"/>
    <n v="2383"/>
    <n v="11915"/>
  </r>
  <r>
    <s v="06.07.2023"/>
    <d v="2023-07-06T00:00:00"/>
    <x v="5"/>
    <x v="0"/>
    <x v="2"/>
    <x v="1"/>
    <n v="5"/>
    <n v="249"/>
    <n v="1245"/>
  </r>
  <r>
    <s v="23.07.2023"/>
    <d v="2023-07-23T00:00:00"/>
    <x v="5"/>
    <x v="1"/>
    <x v="3"/>
    <x v="0"/>
    <n v="1"/>
    <n v="2820"/>
    <n v="2820"/>
  </r>
  <r>
    <s v="15.07.2023"/>
    <d v="2023-07-15T00:00:00"/>
    <x v="5"/>
    <x v="4"/>
    <x v="0"/>
    <x v="3"/>
    <n v="1"/>
    <n v="2922"/>
    <n v="2922"/>
  </r>
  <r>
    <s v="16.07.2023"/>
    <d v="2023-07-16T00:00:00"/>
    <x v="5"/>
    <x v="2"/>
    <x v="2"/>
    <x v="3"/>
    <n v="4"/>
    <n v="2044"/>
    <n v="8176"/>
  </r>
  <r>
    <s v="28.07.2023"/>
    <d v="2023-07-28T00:00:00"/>
    <x v="5"/>
    <x v="1"/>
    <x v="2"/>
    <x v="3"/>
    <n v="3"/>
    <n v="1823"/>
    <n v="5469"/>
  </r>
  <r>
    <s v="26.08.2023"/>
    <d v="2023-08-26T00:00:00"/>
    <x v="6"/>
    <x v="3"/>
    <x v="1"/>
    <x v="2"/>
    <n v="2"/>
    <n v="1653"/>
    <n v="3306"/>
  </r>
  <r>
    <s v="31.08.2023"/>
    <d v="2023-08-31T00:00:00"/>
    <x v="6"/>
    <x v="1"/>
    <x v="2"/>
    <x v="1"/>
    <n v="4"/>
    <n v="2158"/>
    <n v="8632"/>
  </r>
  <r>
    <s v="13.08.2023"/>
    <d v="2023-08-13T00:00:00"/>
    <x v="6"/>
    <x v="0"/>
    <x v="3"/>
    <x v="0"/>
    <n v="4"/>
    <n v="2344"/>
    <n v="9376"/>
  </r>
  <r>
    <s v="11.08.2023"/>
    <d v="2023-08-11T00:00:00"/>
    <x v="6"/>
    <x v="4"/>
    <x v="3"/>
    <x v="0"/>
    <n v="5"/>
    <n v="1519"/>
    <n v="7595"/>
  </r>
  <r>
    <s v="20.08.2023"/>
    <d v="2023-08-20T00:00:00"/>
    <x v="6"/>
    <x v="1"/>
    <x v="2"/>
    <x v="0"/>
    <n v="5"/>
    <n v="2823"/>
    <n v="14115"/>
  </r>
  <r>
    <s v="30.08.2023"/>
    <d v="2023-08-30T00:00:00"/>
    <x v="6"/>
    <x v="0"/>
    <x v="0"/>
    <x v="1"/>
    <n v="3"/>
    <n v="2013"/>
    <n v="6039"/>
  </r>
  <r>
    <s v="13.09.2023"/>
    <d v="2023-09-13T00:00:00"/>
    <x v="7"/>
    <x v="1"/>
    <x v="2"/>
    <x v="2"/>
    <n v="4"/>
    <n v="1758"/>
    <n v="7032"/>
  </r>
  <r>
    <s v="20.09.2023"/>
    <d v="2023-09-20T00:00:00"/>
    <x v="7"/>
    <x v="1"/>
    <x v="1"/>
    <x v="2"/>
    <n v="5"/>
    <n v="1407"/>
    <n v="7035"/>
  </r>
  <r>
    <s v="27.09.2023"/>
    <d v="2023-09-27T00:00:00"/>
    <x v="7"/>
    <x v="2"/>
    <x v="1"/>
    <x v="0"/>
    <n v="1"/>
    <n v="688"/>
    <n v="688"/>
  </r>
  <r>
    <s v="24.09.2023"/>
    <d v="2023-09-24T00:00:00"/>
    <x v="7"/>
    <x v="4"/>
    <x v="1"/>
    <x v="3"/>
    <n v="4"/>
    <n v="2535"/>
    <n v="10140"/>
  </r>
  <r>
    <s v="22.09.2023"/>
    <d v="2023-09-22T00:00:00"/>
    <x v="7"/>
    <x v="3"/>
    <x v="1"/>
    <x v="1"/>
    <n v="2"/>
    <n v="2677"/>
    <n v="5354"/>
  </r>
  <r>
    <s v="08.09.2023"/>
    <d v="2023-09-08T00:00:00"/>
    <x v="7"/>
    <x v="4"/>
    <x v="0"/>
    <x v="3"/>
    <n v="5"/>
    <n v="1493"/>
    <n v="7465"/>
  </r>
  <r>
    <s v="01.09.2023"/>
    <d v="2023-09-01T00:00:00"/>
    <x v="7"/>
    <x v="4"/>
    <x v="2"/>
    <x v="3"/>
    <n v="5"/>
    <n v="2417"/>
    <n v="12085"/>
  </r>
  <r>
    <s v="05.09.2023"/>
    <d v="2023-09-05T00:00:00"/>
    <x v="7"/>
    <x v="3"/>
    <x v="1"/>
    <x v="2"/>
    <n v="1"/>
    <n v="2129"/>
    <n v="2129"/>
  </r>
  <r>
    <s v="06.09.2023"/>
    <d v="2023-09-06T00:00:00"/>
    <x v="7"/>
    <x v="3"/>
    <x v="3"/>
    <x v="3"/>
    <n v="4"/>
    <n v="2994"/>
    <n v="11976"/>
  </r>
  <r>
    <s v="12.09.2023"/>
    <d v="2023-09-12T00:00:00"/>
    <x v="7"/>
    <x v="1"/>
    <x v="3"/>
    <x v="2"/>
    <n v="4"/>
    <n v="2810"/>
    <n v="11240"/>
  </r>
  <r>
    <s v="02.09.2023"/>
    <d v="2023-09-02T00:00:00"/>
    <x v="7"/>
    <x v="1"/>
    <x v="1"/>
    <x v="2"/>
    <n v="4"/>
    <n v="2584"/>
    <n v="10336"/>
  </r>
  <r>
    <s v="21.09.2023"/>
    <d v="2023-09-21T00:00:00"/>
    <x v="7"/>
    <x v="0"/>
    <x v="0"/>
    <x v="1"/>
    <n v="4"/>
    <n v="2256"/>
    <n v="9024"/>
  </r>
  <r>
    <s v="03.09.2023"/>
    <d v="2023-09-03T00:00:00"/>
    <x v="7"/>
    <x v="0"/>
    <x v="0"/>
    <x v="2"/>
    <n v="4"/>
    <n v="2463"/>
    <n v="9852"/>
  </r>
  <r>
    <s v="16.09.2023"/>
    <d v="2023-09-16T00:00:00"/>
    <x v="7"/>
    <x v="2"/>
    <x v="2"/>
    <x v="0"/>
    <n v="5"/>
    <n v="2106"/>
    <n v="10530"/>
  </r>
  <r>
    <s v="17.09.2023"/>
    <d v="2023-09-17T00:00:00"/>
    <x v="7"/>
    <x v="1"/>
    <x v="0"/>
    <x v="2"/>
    <n v="3"/>
    <n v="150"/>
    <n v="450"/>
  </r>
  <r>
    <s v="15.10.2023"/>
    <d v="2023-10-15T00:00:00"/>
    <x v="8"/>
    <x v="2"/>
    <x v="3"/>
    <x v="1"/>
    <n v="3"/>
    <n v="2802"/>
    <n v="8406"/>
  </r>
  <r>
    <s v="25.10.2023"/>
    <d v="2023-10-25T00:00:00"/>
    <x v="8"/>
    <x v="3"/>
    <x v="0"/>
    <x v="3"/>
    <n v="2"/>
    <n v="2317"/>
    <n v="4634"/>
  </r>
  <r>
    <s v="01.10.2023"/>
    <d v="2023-10-01T00:00:00"/>
    <x v="8"/>
    <x v="0"/>
    <x v="2"/>
    <x v="2"/>
    <n v="3"/>
    <n v="2689"/>
    <n v="8067"/>
  </r>
  <r>
    <s v="13.10.2023"/>
    <d v="2023-10-13T00:00:00"/>
    <x v="8"/>
    <x v="2"/>
    <x v="3"/>
    <x v="2"/>
    <n v="1"/>
    <n v="2393"/>
    <n v="2393"/>
  </r>
  <r>
    <s v="23.10.2023"/>
    <d v="2023-10-23T00:00:00"/>
    <x v="8"/>
    <x v="3"/>
    <x v="3"/>
    <x v="2"/>
    <n v="5"/>
    <n v="2422"/>
    <n v="12110"/>
  </r>
  <r>
    <s v="09.10.2023"/>
    <d v="2023-10-09T00:00:00"/>
    <x v="8"/>
    <x v="3"/>
    <x v="1"/>
    <x v="0"/>
    <n v="5"/>
    <n v="518"/>
    <n v="2590"/>
  </r>
  <r>
    <s v="20.10.2023"/>
    <d v="2023-10-20T00:00:00"/>
    <x v="8"/>
    <x v="2"/>
    <x v="2"/>
    <x v="0"/>
    <n v="2"/>
    <n v="371"/>
    <n v="742"/>
  </r>
  <r>
    <s v="27.10.2023"/>
    <d v="2023-10-27T00:00:00"/>
    <x v="8"/>
    <x v="2"/>
    <x v="0"/>
    <x v="3"/>
    <n v="3"/>
    <n v="1071"/>
    <n v="3213"/>
  </r>
  <r>
    <s v="13.10.2023"/>
    <d v="2023-10-13T00:00:00"/>
    <x v="8"/>
    <x v="2"/>
    <x v="1"/>
    <x v="2"/>
    <n v="2"/>
    <n v="836"/>
    <n v="1672"/>
  </r>
  <r>
    <s v="19.10.2023"/>
    <d v="2023-10-19T00:00:00"/>
    <x v="8"/>
    <x v="0"/>
    <x v="2"/>
    <x v="2"/>
    <n v="2"/>
    <n v="2324"/>
    <n v="4648"/>
  </r>
  <r>
    <s v="24.11.2023"/>
    <d v="2023-11-24T00:00:00"/>
    <x v="9"/>
    <x v="1"/>
    <x v="1"/>
    <x v="2"/>
    <n v="5"/>
    <n v="813"/>
    <n v="4065"/>
  </r>
  <r>
    <s v="04.11.2023"/>
    <d v="2023-11-04T00:00:00"/>
    <x v="9"/>
    <x v="0"/>
    <x v="0"/>
    <x v="2"/>
    <n v="1"/>
    <n v="320"/>
    <n v="320"/>
  </r>
  <r>
    <s v="28.11.2023"/>
    <d v="2023-11-28T00:00:00"/>
    <x v="9"/>
    <x v="3"/>
    <x v="2"/>
    <x v="2"/>
    <n v="2"/>
    <n v="1446"/>
    <n v="2892"/>
  </r>
  <r>
    <s v="18.11.2023"/>
    <d v="2023-11-18T00:00:00"/>
    <x v="9"/>
    <x v="3"/>
    <x v="1"/>
    <x v="2"/>
    <n v="3"/>
    <n v="1563"/>
    <n v="4689"/>
  </r>
  <r>
    <s v="03.11.2023"/>
    <d v="2023-11-03T00:00:00"/>
    <x v="9"/>
    <x v="2"/>
    <x v="1"/>
    <x v="3"/>
    <n v="3"/>
    <n v="1779"/>
    <n v="5337"/>
  </r>
  <r>
    <s v="27.11.2023"/>
    <d v="2023-11-27T00:00:00"/>
    <x v="9"/>
    <x v="3"/>
    <x v="0"/>
    <x v="0"/>
    <n v="3"/>
    <n v="2974"/>
    <n v="8922"/>
  </r>
  <r>
    <s v="05.11.2023"/>
    <d v="2023-11-05T00:00:00"/>
    <x v="9"/>
    <x v="1"/>
    <x v="1"/>
    <x v="1"/>
    <n v="2"/>
    <n v="1916"/>
    <n v="3832"/>
  </r>
  <r>
    <s v="03.11.2023"/>
    <d v="2023-11-03T00:00:00"/>
    <x v="9"/>
    <x v="2"/>
    <x v="1"/>
    <x v="0"/>
    <n v="1"/>
    <n v="2659"/>
    <n v="2659"/>
  </r>
  <r>
    <s v="26.11.2023"/>
    <d v="2023-11-26T00:00:00"/>
    <x v="9"/>
    <x v="0"/>
    <x v="1"/>
    <x v="2"/>
    <n v="4"/>
    <n v="2678"/>
    <n v="10712"/>
  </r>
  <r>
    <s v="02.11.2023"/>
    <d v="2023-11-02T00:00:00"/>
    <x v="9"/>
    <x v="3"/>
    <x v="1"/>
    <x v="0"/>
    <n v="5"/>
    <n v="249"/>
    <n v="1245"/>
  </r>
  <r>
    <s v="13.11.2023"/>
    <d v="2023-11-13T00:00:00"/>
    <x v="9"/>
    <x v="1"/>
    <x v="3"/>
    <x v="0"/>
    <n v="5"/>
    <n v="1518"/>
    <n v="7590"/>
  </r>
  <r>
    <s v="12.11.2023"/>
    <d v="2023-11-12T00:00:00"/>
    <x v="9"/>
    <x v="3"/>
    <x v="2"/>
    <x v="1"/>
    <n v="1"/>
    <n v="1231"/>
    <n v="1231"/>
  </r>
  <r>
    <s v="09.12.2023"/>
    <d v="2023-12-09T00:00:00"/>
    <x v="10"/>
    <x v="3"/>
    <x v="2"/>
    <x v="2"/>
    <n v="2"/>
    <n v="2430"/>
    <n v="4860"/>
  </r>
  <r>
    <s v="12.12.2023"/>
    <d v="2023-12-12T00:00:00"/>
    <x v="10"/>
    <x v="4"/>
    <x v="1"/>
    <x v="3"/>
    <n v="1"/>
    <n v="865"/>
    <n v="865"/>
  </r>
  <r>
    <s v="23.12.2023"/>
    <d v="2023-12-23T00:00:00"/>
    <x v="10"/>
    <x v="0"/>
    <x v="0"/>
    <x v="3"/>
    <n v="2"/>
    <n v="1489"/>
    <n v="2978"/>
  </r>
  <r>
    <s v="08.12.2023"/>
    <d v="2023-12-08T00:00:00"/>
    <x v="10"/>
    <x v="0"/>
    <x v="0"/>
    <x v="1"/>
    <n v="1"/>
    <n v="1887"/>
    <n v="1887"/>
  </r>
  <r>
    <s v="06.12.2023"/>
    <d v="2023-12-06T00:00:00"/>
    <x v="10"/>
    <x v="2"/>
    <x v="1"/>
    <x v="1"/>
    <n v="5"/>
    <n v="2684"/>
    <n v="13420"/>
  </r>
  <r>
    <s v="02.12.2023"/>
    <d v="2023-12-02T00:00:00"/>
    <x v="10"/>
    <x v="4"/>
    <x v="2"/>
    <x v="3"/>
    <n v="3"/>
    <n v="444"/>
    <n v="1332"/>
  </r>
  <r>
    <s v="12.12.2023"/>
    <d v="2023-12-12T00:00:00"/>
    <x v="10"/>
    <x v="3"/>
    <x v="3"/>
    <x v="1"/>
    <n v="4"/>
    <n v="534"/>
    <n v="2136"/>
  </r>
  <r>
    <s v="11.12.2023"/>
    <d v="2023-12-11T00:00:00"/>
    <x v="10"/>
    <x v="2"/>
    <x v="1"/>
    <x v="1"/>
    <n v="3"/>
    <n v="2688"/>
    <n v="8064"/>
  </r>
  <r>
    <s v="12.12.2023"/>
    <d v="2023-12-12T00:00:00"/>
    <x v="10"/>
    <x v="0"/>
    <x v="0"/>
    <x v="2"/>
    <n v="3"/>
    <n v="1287"/>
    <n v="3861"/>
  </r>
  <r>
    <s v="08.12.2023"/>
    <d v="2023-12-08T00:00:00"/>
    <x v="10"/>
    <x v="4"/>
    <x v="3"/>
    <x v="2"/>
    <n v="2"/>
    <n v="974"/>
    <n v="1948"/>
  </r>
  <r>
    <s v="29.12.2023"/>
    <d v="2023-12-29T00:00:00"/>
    <x v="10"/>
    <x v="4"/>
    <x v="0"/>
    <x v="2"/>
    <n v="1"/>
    <n v="2031"/>
    <n v="2031"/>
  </r>
  <r>
    <s v="29.12.2023"/>
    <d v="2023-12-29T00:00:00"/>
    <x v="10"/>
    <x v="4"/>
    <x v="1"/>
    <x v="3"/>
    <n v="3"/>
    <n v="2010"/>
    <n v="6030"/>
  </r>
  <r>
    <s v="09.12.2023"/>
    <d v="2023-12-09T00:00:00"/>
    <x v="10"/>
    <x v="4"/>
    <x v="2"/>
    <x v="3"/>
    <n v="3"/>
    <n v="398"/>
    <n v="1194"/>
  </r>
  <r>
    <s v="28.12.2023"/>
    <d v="2023-12-28T00:00:00"/>
    <x v="10"/>
    <x v="1"/>
    <x v="1"/>
    <x v="2"/>
    <n v="2"/>
    <n v="985"/>
    <n v="1970"/>
  </r>
  <r>
    <s v="14.12.2023"/>
    <d v="2023-12-14T00:00:00"/>
    <x v="10"/>
    <x v="0"/>
    <x v="0"/>
    <x v="2"/>
    <n v="4"/>
    <n v="2196"/>
    <n v="8784"/>
  </r>
  <r>
    <s v="01.12.2023"/>
    <d v="2023-12-01T00:00:00"/>
    <x v="10"/>
    <x v="1"/>
    <x v="1"/>
    <x v="3"/>
    <n v="1"/>
    <n v="128"/>
    <n v="128"/>
  </r>
  <r>
    <s v="06.12.2023"/>
    <d v="2023-12-06T00:00:00"/>
    <x v="10"/>
    <x v="4"/>
    <x v="3"/>
    <x v="0"/>
    <n v="4"/>
    <n v="2791"/>
    <n v="11164"/>
  </r>
  <r>
    <s v="08.05.2023"/>
    <d v="2023-05-08T00:00:00"/>
    <x v="11"/>
    <x v="2"/>
    <x v="1"/>
    <x v="1"/>
    <n v="2"/>
    <n v="2788"/>
    <n v="5576"/>
  </r>
  <r>
    <s v="11.05.2023"/>
    <d v="2023-05-11T00:00:00"/>
    <x v="11"/>
    <x v="0"/>
    <x v="1"/>
    <x v="1"/>
    <n v="5"/>
    <n v="1556"/>
    <n v="7780"/>
  </r>
  <r>
    <s v="17.05.2023"/>
    <d v="2023-05-17T00:00:00"/>
    <x v="11"/>
    <x v="4"/>
    <x v="1"/>
    <x v="0"/>
    <n v="1"/>
    <n v="2782"/>
    <n v="2782"/>
  </r>
  <r>
    <s v="28.05.2023"/>
    <d v="2023-05-28T00:00:00"/>
    <x v="11"/>
    <x v="4"/>
    <x v="0"/>
    <x v="0"/>
    <n v="3"/>
    <n v="638"/>
    <n v="1914"/>
  </r>
  <r>
    <s v="28.05.2023"/>
    <d v="2023-05-28T00:00:00"/>
    <x v="11"/>
    <x v="2"/>
    <x v="0"/>
    <x v="3"/>
    <n v="5"/>
    <n v="1044"/>
    <n v="5220"/>
  </r>
  <r>
    <s v="20.05.2023"/>
    <d v="2023-05-20T00:00:00"/>
    <x v="11"/>
    <x v="3"/>
    <x v="1"/>
    <x v="3"/>
    <n v="1"/>
    <n v="958"/>
    <n v="3832"/>
  </r>
  <r>
    <s v="03.05.2023"/>
    <d v="2023-05-03T00:00:00"/>
    <x v="11"/>
    <x v="1"/>
    <x v="0"/>
    <x v="2"/>
    <n v="4"/>
    <n v="1550"/>
    <n v="6200"/>
  </r>
  <r>
    <s v="07.05.2023"/>
    <d v="2023-05-07T00:00:00"/>
    <x v="11"/>
    <x v="4"/>
    <x v="0"/>
    <x v="2"/>
    <n v="1"/>
    <n v="1506"/>
    <n v="1506"/>
  </r>
  <r>
    <s v="08.05.2023"/>
    <d v="2023-05-08T00:00:00"/>
    <x v="11"/>
    <x v="3"/>
    <x v="0"/>
    <x v="1"/>
    <n v="5"/>
    <n v="1145"/>
    <n v="5725"/>
  </r>
  <r>
    <s v="05.05.2023"/>
    <d v="2023-05-05T00:00:00"/>
    <x v="11"/>
    <x v="0"/>
    <x v="3"/>
    <x v="0"/>
    <n v="5"/>
    <n v="736"/>
    <n v="3680"/>
  </r>
  <r>
    <s v="29.05.2023"/>
    <d v="2023-05-29T00:00:00"/>
    <x v="11"/>
    <x v="2"/>
    <x v="1"/>
    <x v="1"/>
    <n v="3"/>
    <n v="609"/>
    <n v="1827"/>
  </r>
  <r>
    <s v="31.05.2023"/>
    <d v="2023-05-31T00:00:00"/>
    <x v="11"/>
    <x v="0"/>
    <x v="0"/>
    <x v="3"/>
    <n v="4"/>
    <n v="2812"/>
    <n v="11248"/>
  </r>
  <r>
    <s v="22.05.2023"/>
    <d v="2023-05-22T00:00:00"/>
    <x v="11"/>
    <x v="1"/>
    <x v="2"/>
    <x v="2"/>
    <n v="4"/>
    <n v="718"/>
    <n v="28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D981B6-3C4F-4487-9CA7-1848D8D016CB}" name="Vanzari luna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9:E22" firstHeaderRow="1" firstDataRow="1" firstDataCol="1"/>
  <pivotFields count="9">
    <pivotField subtotalTop="0" showAll="0"/>
    <pivotField numFmtId="164" subtotalTop="0" showAll="0"/>
    <pivotField axis="axisRow" subtotalTop="0" showAll="0" includeNewItemsInFilter="1">
      <items count="13">
        <item x="0"/>
        <item x="1"/>
        <item x="2"/>
        <item x="3"/>
        <item x="11"/>
        <item x="4"/>
        <item x="5"/>
        <item x="6"/>
        <item x="7"/>
        <item x="8"/>
        <item x="9"/>
        <item x="10"/>
        <item t="default"/>
      </items>
    </pivotField>
    <pivotField subtotalTop="0" showAll="0">
      <items count="6">
        <item x="4"/>
        <item x="1"/>
        <item x="2"/>
        <item x="3"/>
        <item x="0"/>
        <item t="default"/>
      </items>
    </pivotField>
    <pivotField subtotalTop="0" showAll="0">
      <items count="5">
        <item x="1"/>
        <item x="0"/>
        <item x="3"/>
        <item x="2"/>
        <item t="default"/>
      </items>
    </pivotField>
    <pivotField subtotalTop="0" showAll="0"/>
    <pivotField subtotalTop="0" showAll="0"/>
    <pivotField subtotalTop="0" showAll="0"/>
    <pivotField dataField="1" subtotalTop="0" showAll="0"/>
  </pivotFields>
  <rowFields count="1">
    <field x="2"/>
  </rowFields>
  <rowItems count="13">
    <i>
      <x/>
    </i>
    <i>
      <x v="1"/>
    </i>
    <i>
      <x v="2"/>
    </i>
    <i>
      <x v="3"/>
    </i>
    <i>
      <x v="4"/>
    </i>
    <i>
      <x v="5"/>
    </i>
    <i>
      <x v="6"/>
    </i>
    <i>
      <x v="7"/>
    </i>
    <i>
      <x v="8"/>
    </i>
    <i>
      <x v="9"/>
    </i>
    <i>
      <x v="10"/>
    </i>
    <i>
      <x v="11"/>
    </i>
    <i t="grand">
      <x/>
    </i>
  </rowItems>
  <colItems count="1">
    <i/>
  </colItems>
  <dataFields count="1">
    <dataField name="Sum of Total vânzare (lei)" fld="8" baseField="2" baseItem="0" numFmtId="165"/>
  </dataFields>
  <formats count="2">
    <format dxfId="25">
      <pivotArea collapsedLevelsAreSubtotals="1" fieldPosition="0">
        <references count="1">
          <reference field="2" count="0"/>
        </references>
      </pivotArea>
    </format>
    <format dxfId="24">
      <pivotArea outline="0" fieldPosition="0">
        <references count="1">
          <reference field="4294967294" count="1">
            <x v="0"/>
          </reference>
        </references>
      </pivotArea>
    </format>
  </formats>
  <chartFormats count="2">
    <chartFormat chart="1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EF60AE-D2FE-402D-9D23-98F47CC81779}" name="Vanzari per regiu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9:E14" firstHeaderRow="1" firstDataRow="1" firstDataCol="1"/>
  <pivotFields count="9">
    <pivotField subtotalTop="0" showAll="0"/>
    <pivotField numFmtId="164" subtotalTop="0" showAll="0"/>
    <pivotField subtotalTop="0" showAll="0">
      <items count="13">
        <item x="0"/>
        <item x="1"/>
        <item x="2"/>
        <item x="3"/>
        <item x="11"/>
        <item x="4"/>
        <item x="5"/>
        <item x="6"/>
        <item x="7"/>
        <item x="8"/>
        <item x="9"/>
        <item x="10"/>
        <item t="default"/>
      </items>
    </pivotField>
    <pivotField subtotalTop="0"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axis="axisRow" subtotalTop="0" showAll="0">
      <items count="5">
        <item x="1"/>
        <item x="0"/>
        <item x="3"/>
        <item x="2"/>
        <item t="default"/>
      </items>
    </pivotField>
    <pivotField subtotalTop="0" showAll="0"/>
    <pivotField subtotalTop="0" showAll="0"/>
    <pivotField subtotalTop="0" showAll="0"/>
    <pivotField dataField="1" subtotalTop="0" showAll="0"/>
  </pivotFields>
  <rowFields count="1">
    <field x="4"/>
  </rowFields>
  <rowItems count="5">
    <i>
      <x/>
    </i>
    <i>
      <x v="1"/>
    </i>
    <i>
      <x v="2"/>
    </i>
    <i>
      <x v="3"/>
    </i>
    <i t="grand">
      <x/>
    </i>
  </rowItems>
  <colItems count="1">
    <i/>
  </colItems>
  <dataFields count="1">
    <dataField name="Sum of Total vânzare (lei)" fld="8" baseField="4" baseItem="0" numFmtId="165"/>
  </dataFields>
  <chartFormats count="18">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4" count="1" selected="0">
            <x v="0"/>
          </reference>
        </references>
      </pivotArea>
    </chartFormat>
    <chartFormat chart="5" format="20">
      <pivotArea type="data" outline="0" fieldPosition="0">
        <references count="2">
          <reference field="4294967294" count="1" selected="0">
            <x v="0"/>
          </reference>
          <reference field="4" count="1" selected="0">
            <x v="1"/>
          </reference>
        </references>
      </pivotArea>
    </chartFormat>
    <chartFormat chart="5" format="21">
      <pivotArea type="data" outline="0" fieldPosition="0">
        <references count="2">
          <reference field="4294967294" count="1" selected="0">
            <x v="0"/>
          </reference>
          <reference field="4" count="1" selected="0">
            <x v="2"/>
          </reference>
        </references>
      </pivotArea>
    </chartFormat>
    <chartFormat chart="5" format="22">
      <pivotArea type="data" outline="0" fieldPosition="0">
        <references count="2">
          <reference field="4294967294" count="1" selected="0">
            <x v="0"/>
          </reference>
          <reference field="4" count="1" selected="0">
            <x v="3"/>
          </reference>
        </references>
      </pivotArea>
    </chartFormat>
    <chartFormat chart="18" format="23" series="1">
      <pivotArea type="data" outline="0" fieldPosition="0">
        <references count="1">
          <reference field="4294967294" count="1" selected="0">
            <x v="0"/>
          </reference>
        </references>
      </pivotArea>
    </chartFormat>
    <chartFormat chart="18" format="24">
      <pivotArea type="data" outline="0" fieldPosition="0">
        <references count="2">
          <reference field="4294967294" count="1" selected="0">
            <x v="0"/>
          </reference>
          <reference field="4" count="1" selected="0">
            <x v="0"/>
          </reference>
        </references>
      </pivotArea>
    </chartFormat>
    <chartFormat chart="18" format="25">
      <pivotArea type="data" outline="0" fieldPosition="0">
        <references count="2">
          <reference field="4294967294" count="1" selected="0">
            <x v="0"/>
          </reference>
          <reference field="4" count="1" selected="0">
            <x v="1"/>
          </reference>
        </references>
      </pivotArea>
    </chartFormat>
    <chartFormat chart="18" format="26">
      <pivotArea type="data" outline="0" fieldPosition="0">
        <references count="2">
          <reference field="4294967294" count="1" selected="0">
            <x v="0"/>
          </reference>
          <reference field="4" count="1" selected="0">
            <x v="2"/>
          </reference>
        </references>
      </pivotArea>
    </chartFormat>
    <chartFormat chart="18" format="27">
      <pivotArea type="data" outline="0" fieldPosition="0">
        <references count="2">
          <reference field="4294967294" count="1" selected="0">
            <x v="0"/>
          </reference>
          <reference field="4" count="1" selected="0">
            <x v="3"/>
          </reference>
        </references>
      </pivotArea>
    </chartFormat>
    <chartFormat chart="19" format="28" series="1">
      <pivotArea type="data" outline="0" fieldPosition="0">
        <references count="1">
          <reference field="4294967294" count="1" selected="0">
            <x v="0"/>
          </reference>
        </references>
      </pivotArea>
    </chartFormat>
    <chartFormat chart="19" format="29">
      <pivotArea type="data" outline="0" fieldPosition="0">
        <references count="2">
          <reference field="4294967294" count="1" selected="0">
            <x v="0"/>
          </reference>
          <reference field="4" count="1" selected="0">
            <x v="0"/>
          </reference>
        </references>
      </pivotArea>
    </chartFormat>
    <chartFormat chart="19" format="30">
      <pivotArea type="data" outline="0" fieldPosition="0">
        <references count="2">
          <reference field="4294967294" count="1" selected="0">
            <x v="0"/>
          </reference>
          <reference field="4" count="1" selected="0">
            <x v="1"/>
          </reference>
        </references>
      </pivotArea>
    </chartFormat>
    <chartFormat chart="19" format="31">
      <pivotArea type="data" outline="0" fieldPosition="0">
        <references count="2">
          <reference field="4294967294" count="1" selected="0">
            <x v="0"/>
          </reference>
          <reference field="4" count="1" selected="0">
            <x v="2"/>
          </reference>
        </references>
      </pivotArea>
    </chartFormat>
    <chartFormat chart="19" format="32">
      <pivotArea type="data" outline="0" fieldPosition="0">
        <references count="2">
          <reference field="4294967294" count="1" selected="0">
            <x v="0"/>
          </reference>
          <reference field="4" count="1" selected="0">
            <x v="3"/>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808C3-F984-4405-BBCC-2F4433FDB51E}" name="Top 4 client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D9:E14" firstHeaderRow="1" firstDataRow="1" firstDataCol="1"/>
  <pivotFields count="9">
    <pivotField subtotalTop="0" showAll="0"/>
    <pivotField numFmtId="164" subtotalTop="0" showAll="0"/>
    <pivotField subtotalTop="0" showAll="0">
      <items count="13">
        <item x="0"/>
        <item x="1"/>
        <item x="2"/>
        <item x="3"/>
        <item x="11"/>
        <item x="4"/>
        <item x="5"/>
        <item x="6"/>
        <item x="7"/>
        <item x="8"/>
        <item x="9"/>
        <item x="10"/>
        <item t="default"/>
      </items>
    </pivotField>
    <pivotField subtotalTop="0"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ubtotalTop="0" showAll="0">
      <items count="5">
        <item x="1"/>
        <item x="0"/>
        <item x="3"/>
        <item x="2"/>
        <item t="default"/>
      </items>
    </pivotField>
    <pivotField axis="axisRow" subtotalTop="0" showAll="0">
      <items count="5">
        <item x="0"/>
        <item x="3"/>
        <item x="2"/>
        <item x="1"/>
        <item t="default"/>
      </items>
    </pivotField>
    <pivotField subtotalTop="0" showAll="0"/>
    <pivotField subtotalTop="0" showAll="0"/>
    <pivotField dataField="1" subtotalTop="0" showAll="0"/>
  </pivotFields>
  <rowFields count="1">
    <field x="5"/>
  </rowFields>
  <rowItems count="5">
    <i>
      <x/>
    </i>
    <i>
      <x v="1"/>
    </i>
    <i>
      <x v="2"/>
    </i>
    <i>
      <x v="3"/>
    </i>
    <i t="grand">
      <x/>
    </i>
  </rowItems>
  <colItems count="1">
    <i/>
  </colItems>
  <dataFields count="1">
    <dataField name="Sum of Total vânzare (lei)" fld="8" baseField="5" baseItem="0" numFmtId="165"/>
  </dataFields>
  <chartFormats count="14">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5" count="1" selected="0">
            <x v="0"/>
          </reference>
        </references>
      </pivotArea>
    </chartFormat>
    <chartFormat chart="4" format="14">
      <pivotArea type="data" outline="0" fieldPosition="0">
        <references count="2">
          <reference field="4294967294" count="1" selected="0">
            <x v="0"/>
          </reference>
          <reference field="5" count="1" selected="0">
            <x v="1"/>
          </reference>
        </references>
      </pivotArea>
    </chartFormat>
    <chartFormat chart="4" format="15">
      <pivotArea type="data" outline="0" fieldPosition="0">
        <references count="2">
          <reference field="4294967294" count="1" selected="0">
            <x v="0"/>
          </reference>
          <reference field="5" count="1" selected="0">
            <x v="2"/>
          </reference>
        </references>
      </pivotArea>
    </chartFormat>
    <chartFormat chart="4" format="16">
      <pivotArea type="data" outline="0" fieldPosition="0">
        <references count="2">
          <reference field="4294967294" count="1" selected="0">
            <x v="0"/>
          </reference>
          <reference field="5"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5" count="1" selected="0">
            <x v="3"/>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5" count="1" selected="0">
            <x v="3"/>
          </reference>
        </references>
      </pivotArea>
    </chartFormat>
    <chartFormat chart="20" format="2">
      <pivotArea type="data" outline="0" fieldPosition="0">
        <references count="2">
          <reference field="4294967294" count="1" selected="0">
            <x v="0"/>
          </reference>
          <reference field="5" count="1" selected="0">
            <x v="1"/>
          </reference>
        </references>
      </pivotArea>
    </chartFormat>
    <chartFormat chart="45" format="7"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EE38B7-691A-4A99-8660-41244E3596F1}" name="Vanzari totale per prod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9:E15" firstHeaderRow="1" firstDataRow="1" firstDataCol="1"/>
  <pivotFields count="9">
    <pivotField subtotalTop="0" showAll="0"/>
    <pivotField numFmtId="164" subtotalTop="0" showAll="0"/>
    <pivotField subtotalTop="0" showAll="0">
      <items count="13">
        <item x="0"/>
        <item x="1"/>
        <item x="2"/>
        <item x="3"/>
        <item x="11"/>
        <item x="4"/>
        <item x="5"/>
        <item x="6"/>
        <item x="7"/>
        <item x="8"/>
        <item x="9"/>
        <item x="10"/>
        <item t="default"/>
      </items>
    </pivotField>
    <pivotField axis="axisRow" subtotalTop="0" showAll="0">
      <items count="6">
        <item x="4"/>
        <item x="1"/>
        <item x="2"/>
        <item x="3"/>
        <item x="0"/>
        <item t="default"/>
      </items>
    </pivotField>
    <pivotField subtotalTop="0" showAll="0">
      <items count="5">
        <item x="1"/>
        <item x="0"/>
        <item x="3"/>
        <item x="2"/>
        <item t="default"/>
      </items>
    </pivotField>
    <pivotField subtotalTop="0" showAll="0"/>
    <pivotField subtotalTop="0" showAll="0"/>
    <pivotField subtotalTop="0" showAll="0"/>
    <pivotField dataField="1" subtotalTop="0" showAll="0"/>
  </pivotFields>
  <rowFields count="1">
    <field x="3"/>
  </rowFields>
  <rowItems count="6">
    <i>
      <x/>
    </i>
    <i>
      <x v="1"/>
    </i>
    <i>
      <x v="2"/>
    </i>
    <i>
      <x v="3"/>
    </i>
    <i>
      <x v="4"/>
    </i>
    <i t="grand">
      <x/>
    </i>
  </rowItems>
  <colItems count="1">
    <i/>
  </colItems>
  <dataFields count="1">
    <dataField name="Sum of Total vânzare (lei)" fld="8" baseField="0" baseItem="0"/>
  </dataFields>
  <formats count="1">
    <format dxfId="18">
      <pivotArea outline="0" collapsedLevelsAreSubtotals="1" fieldPosition="0"/>
    </format>
  </formats>
  <chartFormats count="14">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2">
          <reference field="4294967294" count="1" selected="0">
            <x v="0"/>
          </reference>
          <reference field="3" count="1" selected="0">
            <x v="1"/>
          </reference>
        </references>
      </pivotArea>
    </chartFormat>
    <chartFormat chart="3" format="9" series="1">
      <pivotArea type="data" outline="0" fieldPosition="0">
        <references count="2">
          <reference field="4294967294" count="1" selected="0">
            <x v="0"/>
          </reference>
          <reference field="3" count="1" selected="0">
            <x v="2"/>
          </reference>
        </references>
      </pivotArea>
    </chartFormat>
    <chartFormat chart="3" format="10" series="1">
      <pivotArea type="data" outline="0" fieldPosition="0">
        <references count="2">
          <reference field="4294967294" count="1" selected="0">
            <x v="0"/>
          </reference>
          <reference field="3" count="1" selected="0">
            <x v="3"/>
          </reference>
        </references>
      </pivotArea>
    </chartFormat>
    <chartFormat chart="3" format="11" series="1">
      <pivotArea type="data" outline="0" fieldPosition="0">
        <references count="2">
          <reference field="4294967294" count="1" selected="0">
            <x v="0"/>
          </reference>
          <reference field="3" count="1" selected="0">
            <x v="4"/>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 chart="3" format="13">
      <pivotArea type="data" outline="0" fieldPosition="0">
        <references count="2">
          <reference field="4294967294" count="1" selected="0">
            <x v="0"/>
          </reference>
          <reference field="3" count="1" selected="0">
            <x v="1"/>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 chart="3" format="15">
      <pivotArea type="data" outline="0" fieldPosition="0">
        <references count="2">
          <reference field="4294967294" count="1" selected="0">
            <x v="0"/>
          </reference>
          <reference field="3" count="1" selected="0">
            <x v="3"/>
          </reference>
        </references>
      </pivotArea>
    </chartFormat>
    <chartFormat chart="3" format="16">
      <pivotArea type="data" outline="0" fieldPosition="0">
        <references count="2">
          <reference field="4294967294" count="1" selected="0">
            <x v="0"/>
          </reference>
          <reference field="3" count="1" selected="0">
            <x v="4"/>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une" xr10:uid="{7903E21F-4DB2-4BCF-A3A7-67F886DE0CF8}" sourceName="Regiune">
  <pivotTables>
    <pivotTable tabId="21" name="Top 4 clienti"/>
    <pivotTable tabId="19" name="Vanzari lunare"/>
    <pivotTable tabId="18" name="Vanzari per regiune"/>
    <pivotTable tabId="20" name="Vanzari totale per produs"/>
  </pivotTables>
  <data>
    <tabular pivotCacheId="93445342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s" xr10:uid="{EAA9482B-208D-43C1-8B58-B47049C1564B}" sourceName="Produs">
  <pivotTables>
    <pivotTable tabId="21" name="Top 4 clienti"/>
    <pivotTable tabId="19" name="Vanzari lunare"/>
    <pivotTable tabId="18" name="Vanzari per regiune"/>
  </pivotTables>
  <data>
    <tabular pivotCacheId="934453421">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a" xr10:uid="{CD72E0F7-89DB-4760-919C-D0B42244C3B8}" sourceName="Luna">
  <pivotTables>
    <pivotTable tabId="21" name="Top 4 clienti"/>
    <pivotTable tabId="18" name="Vanzari per regiune"/>
    <pivotTable tabId="20" name="Vanzari totale per produs"/>
  </pivotTables>
  <data>
    <tabular pivotCacheId="934453421">
      <items count="12">
        <i x="6" s="1"/>
        <i x="3" s="1"/>
        <i x="10" s="1"/>
        <i x="1" s="1"/>
        <i x="0" s="1"/>
        <i x="5" s="1"/>
        <i x="4" s="1"/>
        <i x="11" s="1"/>
        <i x="2" s="1"/>
        <i x="9"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une" xr10:uid="{B5091F1C-CC09-48EE-A20F-30ADF14ECCF1}" cache="Slicer_Regiune" caption="Regiune" rowHeight="241300"/>
  <slicer name="Produs" xr10:uid="{8120FE52-B21F-4C6B-89F2-64A15F045A1F}" cache="Slicer_Produs" caption="Produs" rowHeight="241300"/>
  <slicer name="Luna" xr10:uid="{38CB5903-0361-457D-8BF8-A9D22778E133}" cache="Slicer_Luna" caption="Luna"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7545C8-13FF-4409-9AA6-8310D55D1D71}" name="Vanzari_lunare" displayName="Vanzari_lunare" ref="A7:B157" totalsRowShown="0">
  <autoFilter ref="A7:B157" xr:uid="{DA70ED75-5004-4103-B8B6-8025061BF478}"/>
  <sortState xmlns:xlrd2="http://schemas.microsoft.com/office/spreadsheetml/2017/richdata2" ref="A8:B157">
    <sortCondition ref="A8:A157" customList="Ianuarie,Februarie,Martie,Aprilie,Martie,Iunie,Iulie,August,Septembrie,Octombrie,Noiembrie,Decembrie"/>
  </sortState>
  <tableColumns count="2">
    <tableColumn id="1" xr3:uid="{4FEC379E-BF2F-4437-87FC-D2604DC4EF9C}" name="Luna" dataDxfId="23"/>
    <tableColumn id="3" xr3:uid="{383A8B92-3312-4719-83B1-BA31F4D24D2E}" name="Total vânzare (lei)" dataDxf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B885ED-8788-4709-AEFD-749F5D753642}" name="Vanzari_per_regiune" displayName="Vanzari_per_regiune" ref="A7:B157" totalsRowShown="0">
  <autoFilter ref="A7:B157" xr:uid="{DA70ED75-5004-4103-B8B6-8025061BF478}"/>
  <tableColumns count="2">
    <tableColumn id="1" xr3:uid="{C738596C-3E1F-4487-8E83-EFBAD774CC00}" name="Regiune" dataDxfId="21"/>
    <tableColumn id="3" xr3:uid="{E5968A4B-A3EC-4E64-A2D2-67611128EC76}" name="Total vânzare (lei)" dataDxfId="2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EE908FA-FC04-4DBB-987A-73C50F7E45FF}" name="Top_4_clienti" displayName="Top_4_clienti" ref="A7:B157" totalsRowShown="0">
  <autoFilter ref="A7:B157" xr:uid="{DA70ED75-5004-4103-B8B6-8025061BF478}"/>
  <tableColumns count="2">
    <tableColumn id="1" xr3:uid="{73074745-6349-42B7-A905-86AA040CA684}" name="Client"/>
    <tableColumn id="3" xr3:uid="{FCF6BF17-7892-410F-9257-B7E4F356E8C4}" name="Total vânzare (lei)" dataDxfId="1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884164-4104-4FB8-9684-73958773FA5F}" name="Table2" displayName="Table2" ref="A6:B156" totalsRowShown="0" tableBorderDxfId="17">
  <autoFilter ref="A6:B156" xr:uid="{54884164-4104-4FB8-9684-73958773FA5F}"/>
  <tableColumns count="2">
    <tableColumn id="1" xr3:uid="{E4F359E2-CD15-43CC-BB7F-70CE10A57AC4}" name="Produs" dataDxfId="16"/>
    <tableColumn id="2" xr3:uid="{187E4047-1919-46FF-BB8E-828E1AA871BD}" name="Total vânzare (lei)" dataDxfId="1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4B3854-983A-4216-ACCC-47D08A798E56}" name="Analiza_vanzari" displayName="Analiza_vanzari" ref="A1:I152" totalsRowCount="1" headerRowDxfId="14" headerRowBorderDxfId="13" tableBorderDxfId="12">
  <autoFilter ref="A1:I151" xr:uid="{594B3854-983A-4216-ACCC-47D08A798E56}"/>
  <sortState xmlns:xlrd2="http://schemas.microsoft.com/office/spreadsheetml/2017/richdata2" ref="A2:I151">
    <sortCondition ref="C2:C151" customList="Ianuarie,Februarie,Martie,Aprilie,Martie,Iunie,Iulie,August,Septembrie,Octombrie,Noiembrie,Decembrie"/>
  </sortState>
  <tableColumns count="9">
    <tableColumn id="1" xr3:uid="{8AFCBDE9-47FC-49D7-A16D-4858A827CC02}" name="Data" totalsRowLabel="Total" dataDxfId="11" totalsRowDxfId="10"/>
    <tableColumn id="8" xr3:uid="{8851E588-B485-43C5-9D18-77C3EED9E9C5}" name="Data Corecta" dataDxfId="9">
      <calculatedColumnFormula>DATE(RIGHT(A2,4), MID(A2,4,2), LEFT(A2,2))</calculatedColumnFormula>
    </tableColumn>
    <tableColumn id="9" xr3:uid="{1806A9BC-025F-458A-8DFE-5C187B5E4194}" name="Luna" dataDxfId="8"/>
    <tableColumn id="2" xr3:uid="{2127D3D9-5C61-4F0B-90A3-EB52BE8328C9}" name="Produs"/>
    <tableColumn id="3" xr3:uid="{2B6C26A3-D266-4E9C-B756-968AF1CA5B24}" name="Regiune"/>
    <tableColumn id="4" xr3:uid="{979EB230-03F3-4AAC-936E-C78D66764D1D}" name="Client"/>
    <tableColumn id="5" xr3:uid="{0A3FA963-00DD-414A-BEF8-2515A4E7808A}" name="Cantitate"/>
    <tableColumn id="6" xr3:uid="{0A619007-FC80-4CB2-8045-2DD2D55F65DB}" name="Preț unitar (lei)" dataDxfId="7"/>
    <tableColumn id="7" xr3:uid="{AD9B7427-7D8B-49FE-86FA-BBDC75DD1231}" name="Total vânzare (lei)" totalsRowFunction="sum" dataDxfId="6"/>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B65CD6-0C2E-4B78-9EC3-8F3A7076F366}">
  <we:reference id="wa200005502" version="1.0.0.11" store="en-US" storeType="OMEX"/>
  <we:alternateReferences>
    <we:reference id="wa200005502" version="1.0.0.11"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5DDF-FCF6-4AA9-992E-15CD76EFC59B}">
  <dimension ref="A1:O6"/>
  <sheetViews>
    <sheetView showGridLines="0" tabSelected="1" zoomScale="115" zoomScaleNormal="115" workbookViewId="0">
      <selection activeCell="R9" sqref="R9"/>
    </sheetView>
  </sheetViews>
  <sheetFormatPr defaultRowHeight="15" x14ac:dyDescent="0.25"/>
  <sheetData>
    <row r="1" spans="1:15" x14ac:dyDescent="0.25">
      <c r="A1" s="20" t="s">
        <v>192</v>
      </c>
      <c r="B1" s="20"/>
      <c r="C1" s="20"/>
      <c r="D1" s="20"/>
      <c r="E1" s="20"/>
      <c r="F1" s="20"/>
      <c r="G1" s="20"/>
      <c r="H1" s="20"/>
      <c r="I1" s="20"/>
      <c r="J1" s="20"/>
      <c r="K1" s="20"/>
      <c r="L1" s="20"/>
      <c r="M1" s="20"/>
      <c r="N1" s="20"/>
      <c r="O1" s="20"/>
    </row>
    <row r="2" spans="1:15" x14ac:dyDescent="0.25">
      <c r="A2" s="20"/>
      <c r="B2" s="20"/>
      <c r="C2" s="20"/>
      <c r="D2" s="20"/>
      <c r="E2" s="20"/>
      <c r="F2" s="20"/>
      <c r="G2" s="20"/>
      <c r="H2" s="20"/>
      <c r="I2" s="20"/>
      <c r="J2" s="20"/>
      <c r="K2" s="20"/>
      <c r="L2" s="20"/>
      <c r="M2" s="20"/>
      <c r="N2" s="20"/>
      <c r="O2" s="20"/>
    </row>
    <row r="3" spans="1:15" x14ac:dyDescent="0.25">
      <c r="A3" s="20"/>
      <c r="B3" s="20"/>
      <c r="C3" s="20"/>
      <c r="D3" s="20"/>
      <c r="E3" s="20"/>
      <c r="F3" s="20"/>
      <c r="G3" s="20"/>
      <c r="H3" s="20"/>
      <c r="I3" s="20"/>
      <c r="J3" s="20"/>
      <c r="K3" s="20"/>
      <c r="L3" s="20"/>
      <c r="M3" s="20"/>
      <c r="N3" s="20"/>
      <c r="O3" s="20"/>
    </row>
    <row r="4" spans="1:15" x14ac:dyDescent="0.25">
      <c r="A4" s="20"/>
      <c r="B4" s="20"/>
      <c r="C4" s="20"/>
      <c r="D4" s="20"/>
      <c r="E4" s="20"/>
      <c r="F4" s="20"/>
      <c r="G4" s="20"/>
      <c r="H4" s="20"/>
      <c r="I4" s="20"/>
      <c r="J4" s="20"/>
      <c r="K4" s="20"/>
      <c r="L4" s="20"/>
      <c r="M4" s="20"/>
      <c r="N4" s="20"/>
      <c r="O4" s="20"/>
    </row>
    <row r="5" spans="1:15" x14ac:dyDescent="0.25">
      <c r="A5" s="20"/>
      <c r="B5" s="20"/>
      <c r="C5" s="20"/>
      <c r="D5" s="20"/>
      <c r="E5" s="20"/>
      <c r="F5" s="20"/>
      <c r="G5" s="20"/>
      <c r="H5" s="20"/>
      <c r="I5" s="20"/>
      <c r="J5" s="20"/>
      <c r="K5" s="20"/>
      <c r="L5" s="20"/>
      <c r="M5" s="20"/>
      <c r="N5" s="20"/>
      <c r="O5" s="20"/>
    </row>
    <row r="6" spans="1:15" x14ac:dyDescent="0.25">
      <c r="A6" s="20"/>
      <c r="B6" s="20"/>
      <c r="C6" s="20"/>
      <c r="D6" s="20"/>
      <c r="E6" s="20"/>
      <c r="F6" s="20"/>
      <c r="G6" s="20"/>
      <c r="H6" s="20"/>
      <c r="I6" s="20"/>
      <c r="J6" s="20"/>
      <c r="K6" s="20"/>
      <c r="L6" s="20"/>
      <c r="M6" s="20"/>
      <c r="N6" s="20"/>
      <c r="O6" s="2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0470-F9EE-4FA6-8698-624F61179A07}">
  <sheetPr codeName="Sheet1"/>
  <dimension ref="A4:I26"/>
  <sheetViews>
    <sheetView showGridLines="0" zoomScaleNormal="100" workbookViewId="0"/>
  </sheetViews>
  <sheetFormatPr defaultRowHeight="15" x14ac:dyDescent="0.25"/>
  <sheetData>
    <row r="4" spans="1:9" ht="20.25" thickBot="1" x14ac:dyDescent="0.35">
      <c r="A4" s="21" t="s">
        <v>172</v>
      </c>
      <c r="B4" s="21"/>
      <c r="C4" s="21"/>
      <c r="D4" s="21"/>
      <c r="E4" s="21"/>
    </row>
    <row r="5" spans="1:9" ht="15.75" thickTop="1" x14ac:dyDescent="0.25"/>
    <row r="6" spans="1:9" x14ac:dyDescent="0.25">
      <c r="A6" s="25" t="s">
        <v>175</v>
      </c>
      <c r="B6" s="25"/>
      <c r="C6" s="25"/>
      <c r="D6" s="25"/>
      <c r="E6" s="25"/>
      <c r="F6" s="25"/>
      <c r="G6" s="25"/>
    </row>
    <row r="7" spans="1:9" ht="15.75" x14ac:dyDescent="0.25">
      <c r="A7" s="22" t="s">
        <v>189</v>
      </c>
      <c r="B7" s="22"/>
      <c r="C7" s="22"/>
      <c r="D7" s="22"/>
      <c r="E7" s="22"/>
      <c r="F7" s="22"/>
      <c r="G7" s="22"/>
      <c r="H7" s="22"/>
      <c r="I7" s="22"/>
    </row>
    <row r="8" spans="1:9" ht="15.75" x14ac:dyDescent="0.25">
      <c r="A8" s="23" t="s">
        <v>181</v>
      </c>
      <c r="B8" s="23"/>
      <c r="C8" s="23"/>
      <c r="D8" s="23"/>
      <c r="E8" s="23"/>
      <c r="F8" s="23"/>
      <c r="G8" s="23"/>
      <c r="H8" s="23"/>
      <c r="I8" s="23"/>
    </row>
    <row r="10" spans="1:9" ht="20.25" thickBot="1" x14ac:dyDescent="0.35">
      <c r="A10" s="21" t="s">
        <v>173</v>
      </c>
      <c r="B10" s="21"/>
      <c r="C10" s="21"/>
      <c r="D10" s="21"/>
      <c r="E10" s="21"/>
    </row>
    <row r="11" spans="1:9" ht="15.75" thickTop="1" x14ac:dyDescent="0.25"/>
    <row r="12" spans="1:9" x14ac:dyDescent="0.25">
      <c r="A12" s="24" t="s">
        <v>190</v>
      </c>
      <c r="B12" s="24"/>
      <c r="C12" s="24"/>
      <c r="D12" s="24"/>
      <c r="E12" s="24"/>
      <c r="F12" s="24"/>
      <c r="G12" s="24"/>
    </row>
    <row r="13" spans="1:9" ht="15.75" x14ac:dyDescent="0.25">
      <c r="A13" s="23" t="s">
        <v>183</v>
      </c>
      <c r="B13" s="23"/>
      <c r="C13" s="23"/>
      <c r="D13" s="23"/>
      <c r="E13" s="23"/>
      <c r="F13" s="23"/>
      <c r="G13" s="23"/>
      <c r="H13" s="23"/>
      <c r="I13" s="23"/>
    </row>
    <row r="14" spans="1:9" ht="15.75" x14ac:dyDescent="0.25">
      <c r="A14" s="23" t="s">
        <v>182</v>
      </c>
      <c r="B14" s="23"/>
      <c r="C14" s="23"/>
      <c r="D14" s="23"/>
      <c r="E14" s="23"/>
      <c r="F14" s="23"/>
      <c r="G14" s="23"/>
      <c r="H14" s="23"/>
      <c r="I14" s="23"/>
    </row>
    <row r="16" spans="1:9" ht="20.25" thickBot="1" x14ac:dyDescent="0.35">
      <c r="A16" s="21" t="s">
        <v>174</v>
      </c>
      <c r="B16" s="21"/>
      <c r="C16" s="21"/>
      <c r="D16" s="21"/>
      <c r="E16" s="21"/>
    </row>
    <row r="17" spans="1:9" ht="15.75" thickTop="1" x14ac:dyDescent="0.25"/>
    <row r="18" spans="1:9" x14ac:dyDescent="0.25">
      <c r="A18" s="26" t="s">
        <v>176</v>
      </c>
      <c r="B18" s="26"/>
      <c r="C18" s="26"/>
      <c r="D18" s="26"/>
      <c r="E18" s="26"/>
      <c r="F18" s="26"/>
      <c r="G18" s="26"/>
      <c r="H18" s="26"/>
    </row>
    <row r="19" spans="1:9" ht="15.75" x14ac:dyDescent="0.25">
      <c r="A19" s="23" t="s">
        <v>184</v>
      </c>
      <c r="B19" s="23"/>
      <c r="C19" s="23"/>
      <c r="D19" s="23"/>
      <c r="E19" s="23"/>
      <c r="F19" s="23"/>
      <c r="G19" s="23"/>
      <c r="H19" s="23"/>
    </row>
    <row r="20" spans="1:9" x14ac:dyDescent="0.25">
      <c r="A20" s="23" t="s">
        <v>177</v>
      </c>
      <c r="B20" s="23"/>
      <c r="C20" s="23"/>
      <c r="D20" s="23"/>
      <c r="E20" s="23"/>
      <c r="F20" s="23"/>
      <c r="G20" s="23"/>
      <c r="H20" s="23"/>
    </row>
    <row r="22" spans="1:9" ht="20.25" thickBot="1" x14ac:dyDescent="0.35">
      <c r="A22" s="21" t="s">
        <v>178</v>
      </c>
      <c r="B22" s="21"/>
      <c r="C22" s="21"/>
      <c r="D22" s="21"/>
      <c r="E22" s="21"/>
    </row>
    <row r="23" spans="1:9" ht="15.75" thickTop="1" x14ac:dyDescent="0.25"/>
    <row r="24" spans="1:9" x14ac:dyDescent="0.25">
      <c r="A24" s="24" t="s">
        <v>179</v>
      </c>
      <c r="B24" s="24"/>
      <c r="C24" s="24"/>
      <c r="D24" s="24"/>
      <c r="E24" s="24"/>
      <c r="F24" s="24"/>
      <c r="G24" s="24"/>
      <c r="H24" s="24"/>
    </row>
    <row r="25" spans="1:9" ht="15.75" x14ac:dyDescent="0.25">
      <c r="A25" s="23" t="s">
        <v>185</v>
      </c>
      <c r="B25" s="23"/>
      <c r="C25" s="23"/>
      <c r="D25" s="23"/>
      <c r="E25" s="23"/>
      <c r="F25" s="23"/>
      <c r="G25" s="23"/>
      <c r="H25" s="23"/>
      <c r="I25" s="23"/>
    </row>
    <row r="26" spans="1:9" x14ac:dyDescent="0.25">
      <c r="A26" s="23" t="s">
        <v>180</v>
      </c>
      <c r="B26" s="23"/>
      <c r="C26" s="23"/>
      <c r="D26" s="23"/>
      <c r="E26" s="23"/>
      <c r="F26" s="23"/>
      <c r="G26" s="23"/>
      <c r="H26" s="23"/>
      <c r="I26" s="23"/>
    </row>
  </sheetData>
  <mergeCells count="16">
    <mergeCell ref="A26:I26"/>
    <mergeCell ref="A25:I25"/>
    <mergeCell ref="A6:G6"/>
    <mergeCell ref="A12:G12"/>
    <mergeCell ref="A18:H18"/>
    <mergeCell ref="A22:E22"/>
    <mergeCell ref="A19:H19"/>
    <mergeCell ref="A20:H20"/>
    <mergeCell ref="A13:I13"/>
    <mergeCell ref="A16:E16"/>
    <mergeCell ref="A14:I14"/>
    <mergeCell ref="A4:E4"/>
    <mergeCell ref="A7:I7"/>
    <mergeCell ref="A8:I8"/>
    <mergeCell ref="A10:E10"/>
    <mergeCell ref="A24:H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32060-36D6-4B98-B5CF-40F687542B4A}">
  <sheetPr codeName="Sheet7"/>
  <dimension ref="A2:O157"/>
  <sheetViews>
    <sheetView showGridLines="0" zoomScaleNormal="100" workbookViewId="0"/>
  </sheetViews>
  <sheetFormatPr defaultRowHeight="15" x14ac:dyDescent="0.25"/>
  <cols>
    <col min="1" max="1" width="13.140625" bestFit="1" customWidth="1"/>
    <col min="2" max="2" width="23.85546875" bestFit="1" customWidth="1"/>
    <col min="3" max="3" width="19.28515625" bestFit="1" customWidth="1"/>
    <col min="4" max="4" width="13.140625" bestFit="1" customWidth="1"/>
    <col min="5" max="6" width="23.85546875" bestFit="1" customWidth="1"/>
    <col min="8" max="8" width="11.42578125" bestFit="1" customWidth="1"/>
    <col min="9" max="9" width="16.5703125" bestFit="1" customWidth="1"/>
    <col min="13" max="13" width="11.42578125" bestFit="1" customWidth="1"/>
    <col min="14" max="14" width="17.7109375" bestFit="1" customWidth="1"/>
  </cols>
  <sheetData>
    <row r="2" spans="1:15" x14ac:dyDescent="0.25">
      <c r="A2" s="27" t="s">
        <v>186</v>
      </c>
      <c r="B2" s="27"/>
      <c r="C2" s="27"/>
      <c r="D2" s="27"/>
      <c r="E2" s="27"/>
      <c r="F2" s="27"/>
    </row>
    <row r="7" spans="1:15" x14ac:dyDescent="0.25">
      <c r="A7" t="s">
        <v>153</v>
      </c>
      <c r="B7" t="s">
        <v>6</v>
      </c>
      <c r="D7" s="28" t="s">
        <v>170</v>
      </c>
      <c r="E7" s="28"/>
      <c r="H7" s="28" t="s">
        <v>168</v>
      </c>
      <c r="I7" s="28"/>
      <c r="J7" s="28"/>
      <c r="M7" s="28" t="s">
        <v>169</v>
      </c>
      <c r="N7" s="28"/>
      <c r="O7" s="28"/>
    </row>
    <row r="8" spans="1:15" x14ac:dyDescent="0.25">
      <c r="A8" s="13" t="s">
        <v>161</v>
      </c>
      <c r="B8" s="10">
        <v>12250</v>
      </c>
    </row>
    <row r="9" spans="1:15" x14ac:dyDescent="0.25">
      <c r="A9" s="13" t="s">
        <v>161</v>
      </c>
      <c r="B9" s="10">
        <v>11952</v>
      </c>
      <c r="D9" s="2" t="s">
        <v>150</v>
      </c>
      <c r="E9" t="s">
        <v>152</v>
      </c>
      <c r="H9" s="9" t="str" cm="1">
        <f t="array" ref="H9:H20">_xlfn.UNIQUE(Vanzari_lunare[Luna])</f>
        <v>Ianuarie</v>
      </c>
      <c r="I9" s="11">
        <f>SUMIFS(Vanzari_lunare[Total vânzare (lei)],Vanzari_lunare[Luna],H9)</f>
        <v>63320</v>
      </c>
      <c r="M9" s="9" t="str" cm="1">
        <f t="array" ref="M9:M20">_xlfn.UNIQUE(Vanzari_lunare[Luna])</f>
        <v>Ianuarie</v>
      </c>
      <c r="N9" s="12" cm="1">
        <f t="array" ref="N9">SUMPRODUCT((Vanzari_lunare[Luna]=M9)*(Vanzari_lunare[Total vânzare (lei)]))</f>
        <v>63320</v>
      </c>
    </row>
    <row r="10" spans="1:15" x14ac:dyDescent="0.25">
      <c r="A10" s="13" t="s">
        <v>161</v>
      </c>
      <c r="B10" s="10">
        <v>10968</v>
      </c>
      <c r="D10" s="3" t="s">
        <v>161</v>
      </c>
      <c r="E10" s="10">
        <v>63320</v>
      </c>
      <c r="H10" s="9" t="str">
        <v>Februarie</v>
      </c>
      <c r="I10" s="11">
        <f>SUMIFS(Vanzari_lunare[Total vânzare (lei)],Vanzari_lunare[Luna],H10)</f>
        <v>87517</v>
      </c>
      <c r="M10" s="9" t="str">
        <v>Februarie</v>
      </c>
      <c r="N10" s="12" cm="1">
        <f t="array" ref="N10">SUMPRODUCT((Vanzari_lunare[Luna]=M10)*(Vanzari_lunare[Total vânzare (lei)]))</f>
        <v>87517</v>
      </c>
    </row>
    <row r="11" spans="1:15" x14ac:dyDescent="0.25">
      <c r="A11" s="13" t="s">
        <v>161</v>
      </c>
      <c r="B11" s="10">
        <v>5834</v>
      </c>
      <c r="D11" s="3" t="s">
        <v>162</v>
      </c>
      <c r="E11" s="10">
        <v>87517</v>
      </c>
      <c r="H11" s="9" t="str">
        <v>Martie</v>
      </c>
      <c r="I11" s="11">
        <f>SUMIFS(Vanzari_lunare[Total vânzare (lei)],Vanzari_lunare[Luna],H11)</f>
        <v>99072</v>
      </c>
      <c r="M11" s="9" t="str">
        <v>Martie</v>
      </c>
      <c r="N11" s="12" cm="1">
        <f t="array" ref="N11">SUMPRODUCT((Vanzari_lunare[Luna]=M11)*(Vanzari_lunare[Total vânzare (lei)]))</f>
        <v>99072</v>
      </c>
    </row>
    <row r="12" spans="1:15" x14ac:dyDescent="0.25">
      <c r="A12" s="13" t="s">
        <v>161</v>
      </c>
      <c r="B12" s="10">
        <v>5274</v>
      </c>
      <c r="D12" s="3" t="s">
        <v>163</v>
      </c>
      <c r="E12" s="10">
        <v>99072</v>
      </c>
      <c r="H12" s="9" t="str">
        <v>Aprilie</v>
      </c>
      <c r="I12" s="11">
        <f>SUMIFS(Vanzari_lunare[Total vânzare (lei)],Vanzari_lunare[Luna],H12)</f>
        <v>58791</v>
      </c>
      <c r="M12" s="9" t="str">
        <v>Aprilie</v>
      </c>
      <c r="N12" s="12" cm="1">
        <f t="array" ref="N12">SUMPRODUCT((Vanzari_lunare[Luna]=M12)*(Vanzari_lunare[Total vânzare (lei)]))</f>
        <v>58791</v>
      </c>
    </row>
    <row r="13" spans="1:15" x14ac:dyDescent="0.25">
      <c r="A13" s="13" t="s">
        <v>161</v>
      </c>
      <c r="B13" s="10">
        <v>4785</v>
      </c>
      <c r="D13" s="3" t="s">
        <v>157</v>
      </c>
      <c r="E13" s="10">
        <v>58791</v>
      </c>
      <c r="H13" s="9" t="str">
        <v>Iunie</v>
      </c>
      <c r="I13" s="11">
        <f>SUMIFS(Vanzari_lunare[Total vânzare (lei)],Vanzari_lunare[Luna],H13)</f>
        <v>38337</v>
      </c>
      <c r="M13" s="9" t="str">
        <v>Iunie</v>
      </c>
      <c r="N13" s="12" cm="1">
        <f t="array" ref="N13">SUMPRODUCT((Vanzari_lunare[Luna]=M13)*(Vanzari_lunare[Total vânzare (lei)]))</f>
        <v>38337</v>
      </c>
    </row>
    <row r="14" spans="1:15" x14ac:dyDescent="0.25">
      <c r="A14" s="13" t="s">
        <v>161</v>
      </c>
      <c r="B14" s="10">
        <v>3694</v>
      </c>
      <c r="D14" s="3" t="s">
        <v>155</v>
      </c>
      <c r="E14" s="10">
        <v>60162</v>
      </c>
      <c r="H14" s="9" t="str">
        <v>Iulie</v>
      </c>
      <c r="I14" s="11">
        <f>SUMIFS(Vanzari_lunare[Total vânzare (lei)],Vanzari_lunare[Luna],H14)</f>
        <v>40899</v>
      </c>
      <c r="M14" s="9" t="str">
        <v>Iulie</v>
      </c>
      <c r="N14" s="12" cm="1">
        <f t="array" ref="N14">SUMPRODUCT((Vanzari_lunare[Luna]=M14)*(Vanzari_lunare[Total vânzare (lei)]))</f>
        <v>40899</v>
      </c>
    </row>
    <row r="15" spans="1:15" x14ac:dyDescent="0.25">
      <c r="A15" s="13" t="s">
        <v>161</v>
      </c>
      <c r="B15" s="10">
        <v>3525</v>
      </c>
      <c r="D15" s="3" t="s">
        <v>164</v>
      </c>
      <c r="E15" s="10">
        <v>38337</v>
      </c>
      <c r="H15" s="9" t="str">
        <v>August</v>
      </c>
      <c r="I15" s="11">
        <f>SUMIFS(Vanzari_lunare[Total vânzare (lei)],Vanzari_lunare[Luna],H15)</f>
        <v>49063</v>
      </c>
      <c r="M15" s="9" t="str">
        <v>August</v>
      </c>
      <c r="N15" s="12" cm="1">
        <f t="array" ref="N15">SUMPRODUCT((Vanzari_lunare[Luna]=M15)*(Vanzari_lunare[Total vânzare (lei)]))</f>
        <v>49063</v>
      </c>
    </row>
    <row r="16" spans="1:15" x14ac:dyDescent="0.25">
      <c r="A16" s="13" t="s">
        <v>161</v>
      </c>
      <c r="B16" s="10">
        <v>2989</v>
      </c>
      <c r="D16" s="3" t="s">
        <v>165</v>
      </c>
      <c r="E16" s="10">
        <v>40899</v>
      </c>
      <c r="H16" s="9" t="str">
        <v>Septembrie</v>
      </c>
      <c r="I16" s="11">
        <f>SUMIFS(Vanzari_lunare[Total vânzare (lei)],Vanzari_lunare[Luna],H16)</f>
        <v>115336</v>
      </c>
      <c r="M16" s="9" t="str">
        <v>Septembrie</v>
      </c>
      <c r="N16" s="12" cm="1">
        <f t="array" ref="N16">SUMPRODUCT((Vanzari_lunare[Luna]=M16)*(Vanzari_lunare[Total vânzare (lei)]))</f>
        <v>115336</v>
      </c>
    </row>
    <row r="17" spans="1:14" x14ac:dyDescent="0.25">
      <c r="A17" s="13" t="s">
        <v>161</v>
      </c>
      <c r="B17" s="10">
        <v>1605</v>
      </c>
      <c r="D17" s="3" t="s">
        <v>160</v>
      </c>
      <c r="E17" s="10">
        <v>49063</v>
      </c>
      <c r="H17" s="9" t="str">
        <v>Octombrie</v>
      </c>
      <c r="I17" s="11">
        <f>SUMIFS(Vanzari_lunare[Total vânzare (lei)],Vanzari_lunare[Luna],H17)</f>
        <v>48475</v>
      </c>
      <c r="M17" s="9" t="str">
        <v>Octombrie</v>
      </c>
      <c r="N17" s="12" cm="1">
        <f t="array" ref="N17">SUMPRODUCT((Vanzari_lunare[Luna]=M17)*(Vanzari_lunare[Total vânzare (lei)]))</f>
        <v>48475</v>
      </c>
    </row>
    <row r="18" spans="1:14" x14ac:dyDescent="0.25">
      <c r="A18" s="13" t="s">
        <v>161</v>
      </c>
      <c r="B18" s="10">
        <v>444</v>
      </c>
      <c r="D18" s="3" t="s">
        <v>156</v>
      </c>
      <c r="E18" s="10">
        <v>115336</v>
      </c>
      <c r="H18" s="9" t="str">
        <v>Noiembrie</v>
      </c>
      <c r="I18" s="11">
        <f>SUMIFS(Vanzari_lunare[Total vânzare (lei)],Vanzari_lunare[Luna],H18)</f>
        <v>53494</v>
      </c>
      <c r="M18" s="9" t="str">
        <v>Noiembrie</v>
      </c>
      <c r="N18" s="12" cm="1">
        <f t="array" ref="N18">SUMPRODUCT((Vanzari_lunare[Luna]=M18)*(Vanzari_lunare[Total vânzare (lei)]))</f>
        <v>53494</v>
      </c>
    </row>
    <row r="19" spans="1:14" x14ac:dyDescent="0.25">
      <c r="A19" s="13" t="s">
        <v>162</v>
      </c>
      <c r="B19" s="10">
        <v>11916</v>
      </c>
      <c r="D19" s="3" t="s">
        <v>166</v>
      </c>
      <c r="E19" s="10">
        <v>48475</v>
      </c>
      <c r="H19" s="9" t="str">
        <v>Decembrie</v>
      </c>
      <c r="I19" s="11">
        <f>SUMIFS(Vanzari_lunare[Total vânzare (lei)],Vanzari_lunare[Luna],H19)</f>
        <v>72652</v>
      </c>
      <c r="M19" s="9" t="str">
        <v>Decembrie</v>
      </c>
      <c r="N19" s="12" cm="1">
        <f t="array" ref="N19">SUMPRODUCT((Vanzari_lunare[Luna]=M19)*(Vanzari_lunare[Total vânzare (lei)]))</f>
        <v>72652</v>
      </c>
    </row>
    <row r="20" spans="1:14" x14ac:dyDescent="0.25">
      <c r="A20" s="13" t="s">
        <v>162</v>
      </c>
      <c r="B20" s="10">
        <v>9832</v>
      </c>
      <c r="D20" s="3" t="s">
        <v>158</v>
      </c>
      <c r="E20" s="10">
        <v>53494</v>
      </c>
      <c r="H20" s="9" t="str">
        <v>Mai</v>
      </c>
      <c r="I20" s="11">
        <f>SUMIFS(Vanzari_lunare[Total vânzare (lei)],Vanzari_lunare[Luna],H20)</f>
        <v>60162</v>
      </c>
      <c r="M20" s="9" t="str">
        <v>Mai</v>
      </c>
      <c r="N20" s="12" cm="1">
        <f t="array" ref="N20">SUMPRODUCT((Vanzari_lunare[Luna]=M20)*(Vanzari_lunare[Total vânzare (lei)]))</f>
        <v>60162</v>
      </c>
    </row>
    <row r="21" spans="1:14" x14ac:dyDescent="0.25">
      <c r="A21" s="13" t="s">
        <v>162</v>
      </c>
      <c r="B21" s="10">
        <v>7872</v>
      </c>
      <c r="D21" s="3" t="s">
        <v>159</v>
      </c>
      <c r="E21" s="10">
        <v>72652</v>
      </c>
    </row>
    <row r="22" spans="1:14" x14ac:dyDescent="0.25">
      <c r="A22" s="13" t="s">
        <v>162</v>
      </c>
      <c r="B22" s="10">
        <v>7704</v>
      </c>
      <c r="D22" s="3" t="s">
        <v>151</v>
      </c>
      <c r="E22" s="10">
        <v>787118</v>
      </c>
    </row>
    <row r="23" spans="1:14" x14ac:dyDescent="0.25">
      <c r="A23" s="13" t="s">
        <v>162</v>
      </c>
      <c r="B23" s="10">
        <v>6572</v>
      </c>
    </row>
    <row r="24" spans="1:14" x14ac:dyDescent="0.25">
      <c r="A24" s="13" t="s">
        <v>162</v>
      </c>
      <c r="B24" s="10">
        <v>5850</v>
      </c>
    </row>
    <row r="25" spans="1:14" x14ac:dyDescent="0.25">
      <c r="A25" s="13" t="s">
        <v>162</v>
      </c>
      <c r="B25" s="10">
        <v>5810</v>
      </c>
    </row>
    <row r="26" spans="1:14" x14ac:dyDescent="0.25">
      <c r="A26" s="13" t="s">
        <v>162</v>
      </c>
      <c r="B26" s="10">
        <v>5092</v>
      </c>
    </row>
    <row r="27" spans="1:14" x14ac:dyDescent="0.25">
      <c r="A27" s="13" t="s">
        <v>162</v>
      </c>
      <c r="B27" s="10">
        <v>4848</v>
      </c>
    </row>
    <row r="28" spans="1:14" x14ac:dyDescent="0.25">
      <c r="A28" s="13" t="s">
        <v>162</v>
      </c>
      <c r="B28" s="10">
        <v>4208</v>
      </c>
    </row>
    <row r="29" spans="1:14" x14ac:dyDescent="0.25">
      <c r="A29" s="13" t="s">
        <v>162</v>
      </c>
      <c r="B29" s="10">
        <v>4128</v>
      </c>
    </row>
    <row r="30" spans="1:14" x14ac:dyDescent="0.25">
      <c r="A30" s="13" t="s">
        <v>162</v>
      </c>
      <c r="B30" s="10">
        <v>3560</v>
      </c>
      <c r="H30" t="s">
        <v>191</v>
      </c>
    </row>
    <row r="31" spans="1:14" x14ac:dyDescent="0.25">
      <c r="A31" s="13" t="s">
        <v>162</v>
      </c>
      <c r="B31" s="10">
        <v>2863</v>
      </c>
    </row>
    <row r="32" spans="1:14" x14ac:dyDescent="0.25">
      <c r="A32" s="13" t="s">
        <v>162</v>
      </c>
      <c r="B32" s="10">
        <v>2514</v>
      </c>
    </row>
    <row r="33" spans="1:2" x14ac:dyDescent="0.25">
      <c r="A33" s="13" t="s">
        <v>162</v>
      </c>
      <c r="B33" s="10">
        <v>2102</v>
      </c>
    </row>
    <row r="34" spans="1:2" x14ac:dyDescent="0.25">
      <c r="A34" s="13" t="s">
        <v>162</v>
      </c>
      <c r="B34" s="10">
        <v>1379</v>
      </c>
    </row>
    <row r="35" spans="1:2" x14ac:dyDescent="0.25">
      <c r="A35" s="13" t="s">
        <v>162</v>
      </c>
      <c r="B35" s="10">
        <v>1267</v>
      </c>
    </row>
    <row r="36" spans="1:2" x14ac:dyDescent="0.25">
      <c r="A36" s="13" t="s">
        <v>163</v>
      </c>
      <c r="B36" s="10">
        <v>14720</v>
      </c>
    </row>
    <row r="37" spans="1:2" x14ac:dyDescent="0.25">
      <c r="A37" s="13" t="s">
        <v>163</v>
      </c>
      <c r="B37" s="10">
        <v>13595</v>
      </c>
    </row>
    <row r="38" spans="1:2" x14ac:dyDescent="0.25">
      <c r="A38" s="13" t="s">
        <v>163</v>
      </c>
      <c r="B38" s="10">
        <v>12175</v>
      </c>
    </row>
    <row r="39" spans="1:2" x14ac:dyDescent="0.25">
      <c r="A39" s="13" t="s">
        <v>163</v>
      </c>
      <c r="B39" s="10">
        <v>11676</v>
      </c>
    </row>
    <row r="40" spans="1:2" x14ac:dyDescent="0.25">
      <c r="A40" s="13" t="s">
        <v>163</v>
      </c>
      <c r="B40" s="10">
        <v>8085</v>
      </c>
    </row>
    <row r="41" spans="1:2" x14ac:dyDescent="0.25">
      <c r="A41" s="13" t="s">
        <v>163</v>
      </c>
      <c r="B41" s="10">
        <v>7587</v>
      </c>
    </row>
    <row r="42" spans="1:2" x14ac:dyDescent="0.25">
      <c r="A42" s="13" t="s">
        <v>163</v>
      </c>
      <c r="B42" s="10">
        <v>7570</v>
      </c>
    </row>
    <row r="43" spans="1:2" x14ac:dyDescent="0.25">
      <c r="A43" s="13" t="s">
        <v>163</v>
      </c>
      <c r="B43" s="10">
        <v>5510</v>
      </c>
    </row>
    <row r="44" spans="1:2" x14ac:dyDescent="0.25">
      <c r="A44" s="13" t="s">
        <v>163</v>
      </c>
      <c r="B44" s="10">
        <v>4876</v>
      </c>
    </row>
    <row r="45" spans="1:2" x14ac:dyDescent="0.25">
      <c r="A45" s="13" t="s">
        <v>163</v>
      </c>
      <c r="B45" s="10">
        <v>4372</v>
      </c>
    </row>
    <row r="46" spans="1:2" x14ac:dyDescent="0.25">
      <c r="A46" s="13" t="s">
        <v>163</v>
      </c>
      <c r="B46" s="10">
        <v>4000</v>
      </c>
    </row>
    <row r="47" spans="1:2" x14ac:dyDescent="0.25">
      <c r="A47" s="13" t="s">
        <v>163</v>
      </c>
      <c r="B47" s="10">
        <v>2364</v>
      </c>
    </row>
    <row r="48" spans="1:2" x14ac:dyDescent="0.25">
      <c r="A48" s="13" t="s">
        <v>163</v>
      </c>
      <c r="B48" s="10">
        <v>1320</v>
      </c>
    </row>
    <row r="49" spans="1:2" x14ac:dyDescent="0.25">
      <c r="A49" s="13" t="s">
        <v>163</v>
      </c>
      <c r="B49" s="10">
        <v>1222</v>
      </c>
    </row>
    <row r="50" spans="1:2" x14ac:dyDescent="0.25">
      <c r="A50" s="13" t="s">
        <v>157</v>
      </c>
      <c r="B50" s="10">
        <v>10852</v>
      </c>
    </row>
    <row r="51" spans="1:2" x14ac:dyDescent="0.25">
      <c r="A51" s="13" t="s">
        <v>157</v>
      </c>
      <c r="B51" s="10">
        <v>8976</v>
      </c>
    </row>
    <row r="52" spans="1:2" x14ac:dyDescent="0.25">
      <c r="A52" s="13" t="s">
        <v>157</v>
      </c>
      <c r="B52" s="10">
        <v>5908</v>
      </c>
    </row>
    <row r="53" spans="1:2" x14ac:dyDescent="0.25">
      <c r="A53" s="13" t="s">
        <v>157</v>
      </c>
      <c r="B53" s="10">
        <v>5250</v>
      </c>
    </row>
    <row r="54" spans="1:2" x14ac:dyDescent="0.25">
      <c r="A54" s="13" t="s">
        <v>157</v>
      </c>
      <c r="B54" s="10">
        <v>4864</v>
      </c>
    </row>
    <row r="55" spans="1:2" x14ac:dyDescent="0.25">
      <c r="A55" s="13" t="s">
        <v>157</v>
      </c>
      <c r="B55" s="10">
        <v>4296</v>
      </c>
    </row>
    <row r="56" spans="1:2" x14ac:dyDescent="0.25">
      <c r="A56" s="13" t="s">
        <v>157</v>
      </c>
      <c r="B56" s="10">
        <v>4200</v>
      </c>
    </row>
    <row r="57" spans="1:2" x14ac:dyDescent="0.25">
      <c r="A57" s="13" t="s">
        <v>157</v>
      </c>
      <c r="B57" s="10">
        <v>3320</v>
      </c>
    </row>
    <row r="58" spans="1:2" x14ac:dyDescent="0.25">
      <c r="A58" s="13" t="s">
        <v>157</v>
      </c>
      <c r="B58" s="10">
        <v>2530</v>
      </c>
    </row>
    <row r="59" spans="1:2" x14ac:dyDescent="0.25">
      <c r="A59" s="13" t="s">
        <v>157</v>
      </c>
      <c r="B59" s="10">
        <v>2400</v>
      </c>
    </row>
    <row r="60" spans="1:2" x14ac:dyDescent="0.25">
      <c r="A60" s="13" t="s">
        <v>157</v>
      </c>
      <c r="B60" s="10">
        <v>1780</v>
      </c>
    </row>
    <row r="61" spans="1:2" x14ac:dyDescent="0.25">
      <c r="A61" s="13" t="s">
        <v>157</v>
      </c>
      <c r="B61" s="10">
        <v>1092</v>
      </c>
    </row>
    <row r="62" spans="1:2" x14ac:dyDescent="0.25">
      <c r="A62" s="13" t="s">
        <v>157</v>
      </c>
      <c r="B62" s="10">
        <v>1045</v>
      </c>
    </row>
    <row r="63" spans="1:2" x14ac:dyDescent="0.25">
      <c r="A63" s="13" t="s">
        <v>157</v>
      </c>
      <c r="B63" s="10">
        <v>731</v>
      </c>
    </row>
    <row r="64" spans="1:2" x14ac:dyDescent="0.25">
      <c r="A64" s="13" t="s">
        <v>157</v>
      </c>
      <c r="B64" s="10">
        <v>645</v>
      </c>
    </row>
    <row r="65" spans="1:2" x14ac:dyDescent="0.25">
      <c r="A65" s="13" t="s">
        <v>157</v>
      </c>
      <c r="B65" s="10">
        <v>490</v>
      </c>
    </row>
    <row r="66" spans="1:2" x14ac:dyDescent="0.25">
      <c r="A66" s="13" t="s">
        <v>157</v>
      </c>
      <c r="B66" s="10">
        <v>412</v>
      </c>
    </row>
    <row r="67" spans="1:2" x14ac:dyDescent="0.25">
      <c r="A67" s="13" t="s">
        <v>164</v>
      </c>
      <c r="B67" s="10">
        <v>10272</v>
      </c>
    </row>
    <row r="68" spans="1:2" x14ac:dyDescent="0.25">
      <c r="A68" s="13" t="s">
        <v>164</v>
      </c>
      <c r="B68" s="10">
        <v>7220</v>
      </c>
    </row>
    <row r="69" spans="1:2" x14ac:dyDescent="0.25">
      <c r="A69" s="13" t="s">
        <v>164</v>
      </c>
      <c r="B69" s="10">
        <v>5715</v>
      </c>
    </row>
    <row r="70" spans="1:2" x14ac:dyDescent="0.25">
      <c r="A70" s="13" t="s">
        <v>164</v>
      </c>
      <c r="B70" s="10">
        <v>5622</v>
      </c>
    </row>
    <row r="71" spans="1:2" x14ac:dyDescent="0.25">
      <c r="A71" s="13" t="s">
        <v>164</v>
      </c>
      <c r="B71" s="10">
        <v>2873</v>
      </c>
    </row>
    <row r="72" spans="1:2" x14ac:dyDescent="0.25">
      <c r="A72" s="13" t="s">
        <v>164</v>
      </c>
      <c r="B72" s="10">
        <v>2472</v>
      </c>
    </row>
    <row r="73" spans="1:2" x14ac:dyDescent="0.25">
      <c r="A73" s="13" t="s">
        <v>164</v>
      </c>
      <c r="B73" s="10">
        <v>2471</v>
      </c>
    </row>
    <row r="74" spans="1:2" x14ac:dyDescent="0.25">
      <c r="A74" s="13" t="s">
        <v>164</v>
      </c>
      <c r="B74" s="10">
        <v>1276</v>
      </c>
    </row>
    <row r="75" spans="1:2" x14ac:dyDescent="0.25">
      <c r="A75" s="13" t="s">
        <v>164</v>
      </c>
      <c r="B75" s="10">
        <v>416</v>
      </c>
    </row>
    <row r="76" spans="1:2" x14ac:dyDescent="0.25">
      <c r="A76" s="13" t="s">
        <v>165</v>
      </c>
      <c r="B76" s="10">
        <v>11915</v>
      </c>
    </row>
    <row r="77" spans="1:2" x14ac:dyDescent="0.25">
      <c r="A77" s="13" t="s">
        <v>165</v>
      </c>
      <c r="B77" s="10">
        <v>8176</v>
      </c>
    </row>
    <row r="78" spans="1:2" x14ac:dyDescent="0.25">
      <c r="A78" s="13" t="s">
        <v>165</v>
      </c>
      <c r="B78" s="10">
        <v>5469</v>
      </c>
    </row>
    <row r="79" spans="1:2" x14ac:dyDescent="0.25">
      <c r="A79" s="13" t="s">
        <v>165</v>
      </c>
      <c r="B79" s="10">
        <v>4644</v>
      </c>
    </row>
    <row r="80" spans="1:2" x14ac:dyDescent="0.25">
      <c r="A80" s="13" t="s">
        <v>165</v>
      </c>
      <c r="B80" s="10">
        <v>2922</v>
      </c>
    </row>
    <row r="81" spans="1:2" x14ac:dyDescent="0.25">
      <c r="A81" s="13" t="s">
        <v>165</v>
      </c>
      <c r="B81" s="10">
        <v>2820</v>
      </c>
    </row>
    <row r="82" spans="1:2" x14ac:dyDescent="0.25">
      <c r="A82" s="13" t="s">
        <v>165</v>
      </c>
      <c r="B82" s="10">
        <v>2538</v>
      </c>
    </row>
    <row r="83" spans="1:2" x14ac:dyDescent="0.25">
      <c r="A83" s="13" t="s">
        <v>165</v>
      </c>
      <c r="B83" s="10">
        <v>1245</v>
      </c>
    </row>
    <row r="84" spans="1:2" x14ac:dyDescent="0.25">
      <c r="A84" s="13" t="s">
        <v>165</v>
      </c>
      <c r="B84" s="10">
        <v>1170</v>
      </c>
    </row>
    <row r="85" spans="1:2" x14ac:dyDescent="0.25">
      <c r="A85" s="13" t="s">
        <v>160</v>
      </c>
      <c r="B85" s="10">
        <v>14115</v>
      </c>
    </row>
    <row r="86" spans="1:2" x14ac:dyDescent="0.25">
      <c r="A86" s="13" t="s">
        <v>160</v>
      </c>
      <c r="B86" s="10">
        <v>9376</v>
      </c>
    </row>
    <row r="87" spans="1:2" x14ac:dyDescent="0.25">
      <c r="A87" s="13" t="s">
        <v>160</v>
      </c>
      <c r="B87" s="10">
        <v>8632</v>
      </c>
    </row>
    <row r="88" spans="1:2" x14ac:dyDescent="0.25">
      <c r="A88" s="13" t="s">
        <v>160</v>
      </c>
      <c r="B88" s="10">
        <v>7595</v>
      </c>
    </row>
    <row r="89" spans="1:2" x14ac:dyDescent="0.25">
      <c r="A89" s="13" t="s">
        <v>160</v>
      </c>
      <c r="B89" s="10">
        <v>6039</v>
      </c>
    </row>
    <row r="90" spans="1:2" x14ac:dyDescent="0.25">
      <c r="A90" s="13" t="s">
        <v>160</v>
      </c>
      <c r="B90" s="10">
        <v>3306</v>
      </c>
    </row>
    <row r="91" spans="1:2" x14ac:dyDescent="0.25">
      <c r="A91" s="13" t="s">
        <v>156</v>
      </c>
      <c r="B91" s="10">
        <v>12085</v>
      </c>
    </row>
    <row r="92" spans="1:2" x14ac:dyDescent="0.25">
      <c r="A92" s="13" t="s">
        <v>156</v>
      </c>
      <c r="B92" s="10">
        <v>11976</v>
      </c>
    </row>
    <row r="93" spans="1:2" x14ac:dyDescent="0.25">
      <c r="A93" s="13" t="s">
        <v>156</v>
      </c>
      <c r="B93" s="10">
        <v>11240</v>
      </c>
    </row>
    <row r="94" spans="1:2" x14ac:dyDescent="0.25">
      <c r="A94" s="13" t="s">
        <v>156</v>
      </c>
      <c r="B94" s="10">
        <v>10530</v>
      </c>
    </row>
    <row r="95" spans="1:2" x14ac:dyDescent="0.25">
      <c r="A95" s="13" t="s">
        <v>156</v>
      </c>
      <c r="B95" s="10">
        <v>10336</v>
      </c>
    </row>
    <row r="96" spans="1:2" x14ac:dyDescent="0.25">
      <c r="A96" s="13" t="s">
        <v>156</v>
      </c>
      <c r="B96" s="10">
        <v>10140</v>
      </c>
    </row>
    <row r="97" spans="1:2" x14ac:dyDescent="0.25">
      <c r="A97" s="13" t="s">
        <v>156</v>
      </c>
      <c r="B97" s="10">
        <v>9852</v>
      </c>
    </row>
    <row r="98" spans="1:2" x14ac:dyDescent="0.25">
      <c r="A98" s="13" t="s">
        <v>156</v>
      </c>
      <c r="B98" s="10">
        <v>9024</v>
      </c>
    </row>
    <row r="99" spans="1:2" x14ac:dyDescent="0.25">
      <c r="A99" s="13" t="s">
        <v>156</v>
      </c>
      <c r="B99" s="10">
        <v>7465</v>
      </c>
    </row>
    <row r="100" spans="1:2" x14ac:dyDescent="0.25">
      <c r="A100" s="13" t="s">
        <v>156</v>
      </c>
      <c r="B100" s="10">
        <v>7035</v>
      </c>
    </row>
    <row r="101" spans="1:2" x14ac:dyDescent="0.25">
      <c r="A101" s="13" t="s">
        <v>156</v>
      </c>
      <c r="B101" s="10">
        <v>7032</v>
      </c>
    </row>
    <row r="102" spans="1:2" x14ac:dyDescent="0.25">
      <c r="A102" s="13" t="s">
        <v>156</v>
      </c>
      <c r="B102" s="10">
        <v>5354</v>
      </c>
    </row>
    <row r="103" spans="1:2" x14ac:dyDescent="0.25">
      <c r="A103" s="13" t="s">
        <v>156</v>
      </c>
      <c r="B103" s="10">
        <v>2129</v>
      </c>
    </row>
    <row r="104" spans="1:2" x14ac:dyDescent="0.25">
      <c r="A104" s="13" t="s">
        <v>156</v>
      </c>
      <c r="B104" s="10">
        <v>688</v>
      </c>
    </row>
    <row r="105" spans="1:2" x14ac:dyDescent="0.25">
      <c r="A105" s="13" t="s">
        <v>156</v>
      </c>
      <c r="B105" s="10">
        <v>450</v>
      </c>
    </row>
    <row r="106" spans="1:2" x14ac:dyDescent="0.25">
      <c r="A106" s="13" t="s">
        <v>166</v>
      </c>
      <c r="B106" s="10">
        <v>12110</v>
      </c>
    </row>
    <row r="107" spans="1:2" x14ac:dyDescent="0.25">
      <c r="A107" s="13" t="s">
        <v>166</v>
      </c>
      <c r="B107" s="10">
        <v>8406</v>
      </c>
    </row>
    <row r="108" spans="1:2" x14ac:dyDescent="0.25">
      <c r="A108" s="13" t="s">
        <v>166</v>
      </c>
      <c r="B108" s="10">
        <v>8067</v>
      </c>
    </row>
    <row r="109" spans="1:2" x14ac:dyDescent="0.25">
      <c r="A109" s="13" t="s">
        <v>166</v>
      </c>
      <c r="B109" s="10">
        <v>4648</v>
      </c>
    </row>
    <row r="110" spans="1:2" x14ac:dyDescent="0.25">
      <c r="A110" s="13" t="s">
        <v>166</v>
      </c>
      <c r="B110" s="10">
        <v>4634</v>
      </c>
    </row>
    <row r="111" spans="1:2" x14ac:dyDescent="0.25">
      <c r="A111" s="13" t="s">
        <v>166</v>
      </c>
      <c r="B111" s="10">
        <v>3213</v>
      </c>
    </row>
    <row r="112" spans="1:2" x14ac:dyDescent="0.25">
      <c r="A112" s="13" t="s">
        <v>166</v>
      </c>
      <c r="B112" s="10">
        <v>2590</v>
      </c>
    </row>
    <row r="113" spans="1:2" x14ac:dyDescent="0.25">
      <c r="A113" s="13" t="s">
        <v>166</v>
      </c>
      <c r="B113" s="10">
        <v>2393</v>
      </c>
    </row>
    <row r="114" spans="1:2" x14ac:dyDescent="0.25">
      <c r="A114" s="13" t="s">
        <v>166</v>
      </c>
      <c r="B114" s="10">
        <v>1672</v>
      </c>
    </row>
    <row r="115" spans="1:2" x14ac:dyDescent="0.25">
      <c r="A115" s="13" t="s">
        <v>166</v>
      </c>
      <c r="B115" s="10">
        <v>742</v>
      </c>
    </row>
    <row r="116" spans="1:2" x14ac:dyDescent="0.25">
      <c r="A116" s="13" t="s">
        <v>158</v>
      </c>
      <c r="B116" s="10">
        <v>10712</v>
      </c>
    </row>
    <row r="117" spans="1:2" x14ac:dyDescent="0.25">
      <c r="A117" s="13" t="s">
        <v>158</v>
      </c>
      <c r="B117" s="10">
        <v>8922</v>
      </c>
    </row>
    <row r="118" spans="1:2" x14ac:dyDescent="0.25">
      <c r="A118" s="13" t="s">
        <v>158</v>
      </c>
      <c r="B118" s="10">
        <v>7590</v>
      </c>
    </row>
    <row r="119" spans="1:2" x14ac:dyDescent="0.25">
      <c r="A119" s="13" t="s">
        <v>158</v>
      </c>
      <c r="B119" s="10">
        <v>5337</v>
      </c>
    </row>
    <row r="120" spans="1:2" x14ac:dyDescent="0.25">
      <c r="A120" s="13" t="s">
        <v>158</v>
      </c>
      <c r="B120" s="10">
        <v>4689</v>
      </c>
    </row>
    <row r="121" spans="1:2" x14ac:dyDescent="0.25">
      <c r="A121" s="13" t="s">
        <v>158</v>
      </c>
      <c r="B121" s="10">
        <v>4065</v>
      </c>
    </row>
    <row r="122" spans="1:2" x14ac:dyDescent="0.25">
      <c r="A122" s="13" t="s">
        <v>158</v>
      </c>
      <c r="B122" s="10">
        <v>3832</v>
      </c>
    </row>
    <row r="123" spans="1:2" x14ac:dyDescent="0.25">
      <c r="A123" s="13" t="s">
        <v>158</v>
      </c>
      <c r="B123" s="10">
        <v>2892</v>
      </c>
    </row>
    <row r="124" spans="1:2" x14ac:dyDescent="0.25">
      <c r="A124" s="13" t="s">
        <v>158</v>
      </c>
      <c r="B124" s="10">
        <v>2659</v>
      </c>
    </row>
    <row r="125" spans="1:2" x14ac:dyDescent="0.25">
      <c r="A125" s="13" t="s">
        <v>158</v>
      </c>
      <c r="B125" s="10">
        <v>1245</v>
      </c>
    </row>
    <row r="126" spans="1:2" x14ac:dyDescent="0.25">
      <c r="A126" s="13" t="s">
        <v>158</v>
      </c>
      <c r="B126" s="10">
        <v>1231</v>
      </c>
    </row>
    <row r="127" spans="1:2" x14ac:dyDescent="0.25">
      <c r="A127" s="13" t="s">
        <v>158</v>
      </c>
      <c r="B127" s="10">
        <v>320</v>
      </c>
    </row>
    <row r="128" spans="1:2" x14ac:dyDescent="0.25">
      <c r="A128" s="13" t="s">
        <v>159</v>
      </c>
      <c r="B128" s="10">
        <v>13420</v>
      </c>
    </row>
    <row r="129" spans="1:2" x14ac:dyDescent="0.25">
      <c r="A129" s="13" t="s">
        <v>159</v>
      </c>
      <c r="B129" s="10">
        <v>11164</v>
      </c>
    </row>
    <row r="130" spans="1:2" x14ac:dyDescent="0.25">
      <c r="A130" s="13" t="s">
        <v>159</v>
      </c>
      <c r="B130" s="10">
        <v>8784</v>
      </c>
    </row>
    <row r="131" spans="1:2" x14ac:dyDescent="0.25">
      <c r="A131" s="13" t="s">
        <v>159</v>
      </c>
      <c r="B131" s="10">
        <v>8064</v>
      </c>
    </row>
    <row r="132" spans="1:2" x14ac:dyDescent="0.25">
      <c r="A132" s="13" t="s">
        <v>159</v>
      </c>
      <c r="B132" s="10">
        <v>6030</v>
      </c>
    </row>
    <row r="133" spans="1:2" x14ac:dyDescent="0.25">
      <c r="A133" s="13" t="s">
        <v>159</v>
      </c>
      <c r="B133" s="10">
        <v>4860</v>
      </c>
    </row>
    <row r="134" spans="1:2" x14ac:dyDescent="0.25">
      <c r="A134" s="13" t="s">
        <v>159</v>
      </c>
      <c r="B134" s="10">
        <v>3861</v>
      </c>
    </row>
    <row r="135" spans="1:2" x14ac:dyDescent="0.25">
      <c r="A135" s="13" t="s">
        <v>159</v>
      </c>
      <c r="B135" s="10">
        <v>2978</v>
      </c>
    </row>
    <row r="136" spans="1:2" x14ac:dyDescent="0.25">
      <c r="A136" s="13" t="s">
        <v>159</v>
      </c>
      <c r="B136" s="10">
        <v>2136</v>
      </c>
    </row>
    <row r="137" spans="1:2" x14ac:dyDescent="0.25">
      <c r="A137" s="13" t="s">
        <v>159</v>
      </c>
      <c r="B137" s="10">
        <v>2031</v>
      </c>
    </row>
    <row r="138" spans="1:2" x14ac:dyDescent="0.25">
      <c r="A138" s="13" t="s">
        <v>159</v>
      </c>
      <c r="B138" s="10">
        <v>1970</v>
      </c>
    </row>
    <row r="139" spans="1:2" x14ac:dyDescent="0.25">
      <c r="A139" s="13" t="s">
        <v>159</v>
      </c>
      <c r="B139" s="10">
        <v>1948</v>
      </c>
    </row>
    <row r="140" spans="1:2" x14ac:dyDescent="0.25">
      <c r="A140" s="13" t="s">
        <v>159</v>
      </c>
      <c r="B140" s="10">
        <v>1887</v>
      </c>
    </row>
    <row r="141" spans="1:2" x14ac:dyDescent="0.25">
      <c r="A141" s="13" t="s">
        <v>159</v>
      </c>
      <c r="B141" s="10">
        <v>1332</v>
      </c>
    </row>
    <row r="142" spans="1:2" x14ac:dyDescent="0.25">
      <c r="A142" s="13" t="s">
        <v>159</v>
      </c>
      <c r="B142" s="10">
        <v>1194</v>
      </c>
    </row>
    <row r="143" spans="1:2" x14ac:dyDescent="0.25">
      <c r="A143" s="13" t="s">
        <v>159</v>
      </c>
      <c r="B143" s="10">
        <v>865</v>
      </c>
    </row>
    <row r="144" spans="1:2" x14ac:dyDescent="0.25">
      <c r="A144" s="13" t="s">
        <v>159</v>
      </c>
      <c r="B144" s="10">
        <v>128</v>
      </c>
    </row>
    <row r="145" spans="1:2" x14ac:dyDescent="0.25">
      <c r="A145" s="13" t="s">
        <v>155</v>
      </c>
      <c r="B145" s="10">
        <v>11248</v>
      </c>
    </row>
    <row r="146" spans="1:2" x14ac:dyDescent="0.25">
      <c r="A146" s="13" t="s">
        <v>155</v>
      </c>
      <c r="B146" s="10">
        <v>7780</v>
      </c>
    </row>
    <row r="147" spans="1:2" x14ac:dyDescent="0.25">
      <c r="A147" s="13" t="s">
        <v>155</v>
      </c>
      <c r="B147" s="10">
        <v>6200</v>
      </c>
    </row>
    <row r="148" spans="1:2" x14ac:dyDescent="0.25">
      <c r="A148" s="13" t="s">
        <v>155</v>
      </c>
      <c r="B148" s="10">
        <v>5725</v>
      </c>
    </row>
    <row r="149" spans="1:2" x14ac:dyDescent="0.25">
      <c r="A149" s="13" t="s">
        <v>155</v>
      </c>
      <c r="B149" s="10">
        <v>5576</v>
      </c>
    </row>
    <row r="150" spans="1:2" x14ac:dyDescent="0.25">
      <c r="A150" s="13" t="s">
        <v>155</v>
      </c>
      <c r="B150" s="10">
        <v>5220</v>
      </c>
    </row>
    <row r="151" spans="1:2" x14ac:dyDescent="0.25">
      <c r="A151" s="13" t="s">
        <v>155</v>
      </c>
      <c r="B151" s="10">
        <v>3832</v>
      </c>
    </row>
    <row r="152" spans="1:2" x14ac:dyDescent="0.25">
      <c r="A152" s="13" t="s">
        <v>155</v>
      </c>
      <c r="B152" s="10">
        <v>3680</v>
      </c>
    </row>
    <row r="153" spans="1:2" x14ac:dyDescent="0.25">
      <c r="A153" s="13" t="s">
        <v>155</v>
      </c>
      <c r="B153" s="10">
        <v>2872</v>
      </c>
    </row>
    <row r="154" spans="1:2" x14ac:dyDescent="0.25">
      <c r="A154" s="13" t="s">
        <v>155</v>
      </c>
      <c r="B154" s="10">
        <v>2782</v>
      </c>
    </row>
    <row r="155" spans="1:2" x14ac:dyDescent="0.25">
      <c r="A155" s="13" t="s">
        <v>155</v>
      </c>
      <c r="B155" s="10">
        <v>1914</v>
      </c>
    </row>
    <row r="156" spans="1:2" x14ac:dyDescent="0.25">
      <c r="A156" s="13" t="s">
        <v>155</v>
      </c>
      <c r="B156" s="10">
        <v>1827</v>
      </c>
    </row>
    <row r="157" spans="1:2" x14ac:dyDescent="0.25">
      <c r="A157" s="13" t="s">
        <v>155</v>
      </c>
      <c r="B157" s="10">
        <v>1506</v>
      </c>
    </row>
  </sheetData>
  <autoFilter ref="H9:H20" xr:uid="{67832060-36D6-4B98-B5CF-40F687542B4A}"/>
  <mergeCells count="4">
    <mergeCell ref="A2:F2"/>
    <mergeCell ref="D7:E7"/>
    <mergeCell ref="H7:J7"/>
    <mergeCell ref="M7:O7"/>
  </mergeCells>
  <conditionalFormatting sqref="H9:H13">
    <cfRule type="colorScale" priority="6">
      <colorScale>
        <cfvo type="min"/>
        <cfvo type="percentile" val="50"/>
        <cfvo type="max"/>
        <color rgb="FFF8696B"/>
        <color rgb="FFFFEB84"/>
        <color rgb="FF63BE7B"/>
      </colorScale>
    </cfRule>
  </conditionalFormatting>
  <conditionalFormatting sqref="I9:I20">
    <cfRule type="dataBar" priority="2">
      <dataBar>
        <cfvo type="min"/>
        <cfvo type="max"/>
        <color rgb="FF63C384"/>
      </dataBar>
      <extLst>
        <ext xmlns:x14="http://schemas.microsoft.com/office/spreadsheetml/2009/9/main" uri="{B025F937-C7B1-47D3-B67F-A62EFF666E3E}">
          <x14:id>{313D252E-792C-41BD-8E1C-6A34353FA97E}</x14:id>
        </ext>
      </extLst>
    </cfRule>
  </conditionalFormatting>
  <conditionalFormatting sqref="N9:N20">
    <cfRule type="dataBar" priority="1">
      <dataBar>
        <cfvo type="min"/>
        <cfvo type="max"/>
        <color rgb="FF63C384"/>
      </dataBar>
      <extLst>
        <ext xmlns:x14="http://schemas.microsoft.com/office/spreadsheetml/2009/9/main" uri="{B025F937-C7B1-47D3-B67F-A62EFF666E3E}">
          <x14:id>{B3D71BAC-77DB-4D64-B410-66D9B189734C}</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13D252E-792C-41BD-8E1C-6A34353FA97E}">
            <x14:dataBar minLength="0" maxLength="100" border="1" negativeBarBorderColorSameAsPositive="0">
              <x14:cfvo type="autoMin"/>
              <x14:cfvo type="autoMax"/>
              <x14:borderColor rgb="FF63C384"/>
              <x14:negativeFillColor rgb="FFFF0000"/>
              <x14:negativeBorderColor rgb="FFFF0000"/>
              <x14:axisColor rgb="FF000000"/>
            </x14:dataBar>
          </x14:cfRule>
          <xm:sqref>I9:I20</xm:sqref>
        </x14:conditionalFormatting>
        <x14:conditionalFormatting xmlns:xm="http://schemas.microsoft.com/office/excel/2006/main">
          <x14:cfRule type="dataBar" id="{B3D71BAC-77DB-4D64-B410-66D9B189734C}">
            <x14:dataBar minLength="0" maxLength="100" border="1" negativeBarBorderColorSameAsPositive="0">
              <x14:cfvo type="autoMin"/>
              <x14:cfvo type="autoMax"/>
              <x14:borderColor rgb="FF63C384"/>
              <x14:negativeFillColor rgb="FFFF0000"/>
              <x14:negativeBorderColor rgb="FFFF0000"/>
              <x14:axisColor rgb="FF000000"/>
            </x14:dataBar>
          </x14:cfRule>
          <xm:sqref>N9:N20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60FC-E03B-440D-9934-8B528D847F07}">
  <sheetPr codeName="Sheet6"/>
  <dimension ref="A2:O157"/>
  <sheetViews>
    <sheetView showGridLines="0" zoomScaleNormal="100" workbookViewId="0"/>
  </sheetViews>
  <sheetFormatPr defaultRowHeight="15" x14ac:dyDescent="0.25"/>
  <cols>
    <col min="1" max="1" width="13.140625" bestFit="1" customWidth="1"/>
    <col min="2" max="2" width="23.85546875" bestFit="1" customWidth="1"/>
    <col min="3" max="3" width="19.28515625" bestFit="1" customWidth="1"/>
    <col min="4" max="4" width="13.140625" bestFit="1" customWidth="1"/>
    <col min="5" max="6" width="23.85546875" bestFit="1" customWidth="1"/>
    <col min="9" max="9" width="12.85546875" bestFit="1" customWidth="1"/>
    <col min="14" max="14" width="12.85546875" bestFit="1" customWidth="1"/>
  </cols>
  <sheetData>
    <row r="2" spans="1:15" x14ac:dyDescent="0.25">
      <c r="A2" s="27" t="s">
        <v>187</v>
      </c>
      <c r="B2" s="27"/>
      <c r="C2" s="27"/>
      <c r="D2" s="27"/>
      <c r="E2" s="27"/>
      <c r="F2" s="27"/>
    </row>
    <row r="7" spans="1:15" x14ac:dyDescent="0.25">
      <c r="A7" t="s">
        <v>2</v>
      </c>
      <c r="B7" t="s">
        <v>6</v>
      </c>
      <c r="D7" s="28" t="s">
        <v>170</v>
      </c>
      <c r="E7" s="28"/>
      <c r="H7" s="28" t="s">
        <v>168</v>
      </c>
      <c r="I7" s="28"/>
      <c r="J7" s="28"/>
      <c r="M7" s="28" t="s">
        <v>169</v>
      </c>
      <c r="N7" s="28"/>
      <c r="O7" s="28"/>
    </row>
    <row r="8" spans="1:15" x14ac:dyDescent="0.25">
      <c r="A8" s="3" t="s">
        <v>142</v>
      </c>
      <c r="B8" s="10">
        <v>5576</v>
      </c>
    </row>
    <row r="9" spans="1:15" x14ac:dyDescent="0.25">
      <c r="A9" s="3" t="s">
        <v>143</v>
      </c>
      <c r="B9" s="10">
        <v>7032</v>
      </c>
      <c r="D9" s="2" t="s">
        <v>150</v>
      </c>
      <c r="E9" t="s">
        <v>152</v>
      </c>
      <c r="H9" s="6" t="str" cm="1">
        <f t="array" ref="H9:H12">_xlfn.UNIQUE(Vanzari_per_regiune[Regiune])</f>
        <v>Est</v>
      </c>
      <c r="I9" s="12">
        <f>SUMIFS(Vanzari_per_regiune[Total vânzare (lei)],Vanzari_per_regiune[Regiune],H9)</f>
        <v>207856</v>
      </c>
      <c r="M9" s="6" t="str" cm="1">
        <f t="array" ref="M9:M12">_xlfn.UNIQUE(Vanzari_per_regiune[Regiune])</f>
        <v>Est</v>
      </c>
      <c r="N9" s="12" cm="1">
        <f t="array" ref="N9">SUMPRODUCT((Vanzari_per_regiune[Regiune]="Est")*Vanzari_per_regiune[Total vânzare (lei)])</f>
        <v>207856</v>
      </c>
    </row>
    <row r="10" spans="1:15" x14ac:dyDescent="0.25">
      <c r="A10" s="3" t="s">
        <v>144</v>
      </c>
      <c r="B10" s="10">
        <v>4200</v>
      </c>
      <c r="D10" s="3" t="s">
        <v>142</v>
      </c>
      <c r="E10" s="10">
        <v>207856</v>
      </c>
      <c r="H10" s="6" t="str">
        <v>Vest</v>
      </c>
      <c r="I10" s="12">
        <f>SUMIFS(Vanzari_per_regiune[Total vânzare (lei)],Vanzari_per_regiune[Regiune],H10)</f>
        <v>183403</v>
      </c>
      <c r="M10" s="6" t="str">
        <v>Vest</v>
      </c>
      <c r="N10" s="12" cm="1">
        <f t="array" ref="N10">SUMPRODUCT((Vanzari_per_regiune[Regiune]="Vest")*Vanzari_per_regiune[Total vânzare (lei)])</f>
        <v>183403</v>
      </c>
    </row>
    <row r="11" spans="1:15" x14ac:dyDescent="0.25">
      <c r="A11" s="3" t="s">
        <v>142</v>
      </c>
      <c r="B11" s="10">
        <v>4065</v>
      </c>
      <c r="D11" s="3" t="s">
        <v>145</v>
      </c>
      <c r="E11" s="10">
        <v>242382</v>
      </c>
      <c r="H11" s="6" t="str">
        <v>Sud</v>
      </c>
      <c r="I11" s="12">
        <f>SUMIFS(Vanzari_per_regiune[Total vânzare (lei)],Vanzari_per_regiune[Regiune],H11)</f>
        <v>153477</v>
      </c>
      <c r="M11" s="6" t="str">
        <v>Sud</v>
      </c>
      <c r="N11" s="12" cm="1">
        <f t="array" ref="N11">SUMPRODUCT((Vanzari_per_regiune[Regiune]="Sud")*Vanzari_per_regiune[Total vânzare (lei)])</f>
        <v>153477</v>
      </c>
    </row>
    <row r="12" spans="1:15" x14ac:dyDescent="0.25">
      <c r="A12" s="3" t="s">
        <v>143</v>
      </c>
      <c r="B12" s="10">
        <v>4860</v>
      </c>
      <c r="D12" s="3" t="s">
        <v>144</v>
      </c>
      <c r="E12" s="10">
        <v>153477</v>
      </c>
      <c r="H12" s="6" t="str">
        <v>Nord</v>
      </c>
      <c r="I12" s="12">
        <f>SUMIFS(Vanzari_per_regiune[Total vânzare (lei)],Vanzari_per_regiune[Regiune],H12)</f>
        <v>242382</v>
      </c>
      <c r="M12" s="6" t="str">
        <v>Nord</v>
      </c>
      <c r="N12" s="12" cm="1">
        <f t="array" ref="N12">SUMPRODUCT((Vanzari_per_regiune[Regiune]="Nord")*Vanzari_per_regiune[Total vânzare (lei)])</f>
        <v>242382</v>
      </c>
    </row>
    <row r="13" spans="1:15" x14ac:dyDescent="0.25">
      <c r="A13" s="3" t="s">
        <v>144</v>
      </c>
      <c r="B13" s="10">
        <v>10852</v>
      </c>
      <c r="D13" s="3" t="s">
        <v>143</v>
      </c>
      <c r="E13" s="10">
        <v>183403</v>
      </c>
    </row>
    <row r="14" spans="1:15" x14ac:dyDescent="0.25">
      <c r="A14" s="3" t="s">
        <v>142</v>
      </c>
      <c r="B14" s="10">
        <v>3306</v>
      </c>
      <c r="D14" s="3" t="s">
        <v>151</v>
      </c>
      <c r="E14" s="10">
        <v>787118</v>
      </c>
    </row>
    <row r="15" spans="1:15" x14ac:dyDescent="0.25">
      <c r="A15" s="3" t="s">
        <v>142</v>
      </c>
      <c r="B15" s="10">
        <v>7035</v>
      </c>
    </row>
    <row r="16" spans="1:15" x14ac:dyDescent="0.25">
      <c r="A16" s="3" t="s">
        <v>142</v>
      </c>
      <c r="B16" s="10">
        <v>865</v>
      </c>
    </row>
    <row r="17" spans="1:2" x14ac:dyDescent="0.25">
      <c r="A17" s="3" t="s">
        <v>145</v>
      </c>
      <c r="B17" s="10">
        <v>320</v>
      </c>
    </row>
    <row r="18" spans="1:2" x14ac:dyDescent="0.25">
      <c r="A18" s="3" t="s">
        <v>142</v>
      </c>
      <c r="B18" s="10">
        <v>7780</v>
      </c>
    </row>
    <row r="19" spans="1:2" x14ac:dyDescent="0.25">
      <c r="A19" s="3" t="s">
        <v>145</v>
      </c>
      <c r="B19" s="10">
        <v>1045</v>
      </c>
    </row>
    <row r="20" spans="1:2" x14ac:dyDescent="0.25">
      <c r="A20" s="3" t="s">
        <v>145</v>
      </c>
      <c r="B20" s="10">
        <v>2978</v>
      </c>
    </row>
    <row r="21" spans="1:2" x14ac:dyDescent="0.25">
      <c r="A21" s="3" t="s">
        <v>142</v>
      </c>
      <c r="B21" s="10">
        <v>688</v>
      </c>
    </row>
    <row r="22" spans="1:2" x14ac:dyDescent="0.25">
      <c r="A22" s="3" t="s">
        <v>145</v>
      </c>
      <c r="B22" s="10">
        <v>3525</v>
      </c>
    </row>
    <row r="23" spans="1:2" x14ac:dyDescent="0.25">
      <c r="A23" s="3" t="s">
        <v>144</v>
      </c>
      <c r="B23" s="10">
        <v>3320</v>
      </c>
    </row>
    <row r="24" spans="1:2" x14ac:dyDescent="0.25">
      <c r="A24" s="3" t="s">
        <v>145</v>
      </c>
      <c r="B24" s="10">
        <v>5908</v>
      </c>
    </row>
    <row r="25" spans="1:2" x14ac:dyDescent="0.25">
      <c r="A25" s="3" t="s">
        <v>143</v>
      </c>
      <c r="B25" s="10">
        <v>2514</v>
      </c>
    </row>
    <row r="26" spans="1:2" x14ac:dyDescent="0.25">
      <c r="A26" s="3" t="s">
        <v>142</v>
      </c>
      <c r="B26" s="10">
        <v>4864</v>
      </c>
    </row>
    <row r="27" spans="1:2" x14ac:dyDescent="0.25">
      <c r="A27" s="3" t="s">
        <v>143</v>
      </c>
      <c r="B27" s="10">
        <v>7587</v>
      </c>
    </row>
    <row r="28" spans="1:2" x14ac:dyDescent="0.25">
      <c r="A28" s="3" t="s">
        <v>142</v>
      </c>
      <c r="B28" s="10">
        <v>2471</v>
      </c>
    </row>
    <row r="29" spans="1:2" x14ac:dyDescent="0.25">
      <c r="A29" s="3" t="s">
        <v>145</v>
      </c>
      <c r="B29" s="10">
        <v>1887</v>
      </c>
    </row>
    <row r="30" spans="1:2" x14ac:dyDescent="0.25">
      <c r="A30" s="3" t="s">
        <v>142</v>
      </c>
      <c r="B30" s="10">
        <v>10140</v>
      </c>
    </row>
    <row r="31" spans="1:2" x14ac:dyDescent="0.25">
      <c r="A31" s="3" t="s">
        <v>142</v>
      </c>
      <c r="B31" s="10">
        <v>13420</v>
      </c>
    </row>
    <row r="32" spans="1:2" x14ac:dyDescent="0.25">
      <c r="A32" s="3" t="s">
        <v>143</v>
      </c>
      <c r="B32" s="10">
        <v>1332</v>
      </c>
    </row>
    <row r="33" spans="1:2" x14ac:dyDescent="0.25">
      <c r="A33" s="3" t="s">
        <v>142</v>
      </c>
      <c r="B33" s="10">
        <v>5354</v>
      </c>
    </row>
    <row r="34" spans="1:2" x14ac:dyDescent="0.25">
      <c r="A34" s="3" t="s">
        <v>143</v>
      </c>
      <c r="B34" s="10">
        <v>8632</v>
      </c>
    </row>
    <row r="35" spans="1:2" x14ac:dyDescent="0.25">
      <c r="A35" s="3" t="s">
        <v>145</v>
      </c>
      <c r="B35" s="10">
        <v>7465</v>
      </c>
    </row>
    <row r="36" spans="1:2" x14ac:dyDescent="0.25">
      <c r="A36" s="3" t="s">
        <v>143</v>
      </c>
      <c r="B36" s="10">
        <v>2538</v>
      </c>
    </row>
    <row r="37" spans="1:2" x14ac:dyDescent="0.25">
      <c r="A37" s="3" t="s">
        <v>142</v>
      </c>
      <c r="B37" s="10">
        <v>2782</v>
      </c>
    </row>
    <row r="38" spans="1:2" x14ac:dyDescent="0.25">
      <c r="A38" s="3" t="s">
        <v>143</v>
      </c>
      <c r="B38" s="10">
        <v>2892</v>
      </c>
    </row>
    <row r="39" spans="1:2" x14ac:dyDescent="0.25">
      <c r="A39" s="3" t="s">
        <v>142</v>
      </c>
      <c r="B39" s="10">
        <v>4644</v>
      </c>
    </row>
    <row r="40" spans="1:2" x14ac:dyDescent="0.25">
      <c r="A40" s="3" t="s">
        <v>144</v>
      </c>
      <c r="B40" s="10">
        <v>1267</v>
      </c>
    </row>
    <row r="41" spans="1:2" x14ac:dyDescent="0.25">
      <c r="A41" s="3" t="s">
        <v>145</v>
      </c>
      <c r="B41" s="10">
        <v>1914</v>
      </c>
    </row>
    <row r="42" spans="1:2" x14ac:dyDescent="0.25">
      <c r="A42" s="3" t="s">
        <v>143</v>
      </c>
      <c r="B42" s="10">
        <v>1170</v>
      </c>
    </row>
    <row r="43" spans="1:2" x14ac:dyDescent="0.25">
      <c r="A43" s="3" t="s">
        <v>142</v>
      </c>
      <c r="B43" s="10">
        <v>4785</v>
      </c>
    </row>
    <row r="44" spans="1:2" x14ac:dyDescent="0.25">
      <c r="A44" s="3" t="s">
        <v>142</v>
      </c>
      <c r="B44" s="10">
        <v>4689</v>
      </c>
    </row>
    <row r="45" spans="1:2" x14ac:dyDescent="0.25">
      <c r="A45" s="3" t="s">
        <v>145</v>
      </c>
      <c r="B45" s="10">
        <v>12250</v>
      </c>
    </row>
    <row r="46" spans="1:2" x14ac:dyDescent="0.25">
      <c r="A46" s="3" t="s">
        <v>143</v>
      </c>
      <c r="B46" s="10">
        <v>11915</v>
      </c>
    </row>
    <row r="47" spans="1:2" x14ac:dyDescent="0.25">
      <c r="A47" s="3" t="s">
        <v>145</v>
      </c>
      <c r="B47" s="10">
        <v>1092</v>
      </c>
    </row>
    <row r="48" spans="1:2" x14ac:dyDescent="0.25">
      <c r="A48" s="3" t="s">
        <v>144</v>
      </c>
      <c r="B48" s="10">
        <v>8085</v>
      </c>
    </row>
    <row r="49" spans="1:2" x14ac:dyDescent="0.25">
      <c r="A49" s="3" t="s">
        <v>142</v>
      </c>
      <c r="B49" s="10">
        <v>1320</v>
      </c>
    </row>
    <row r="50" spans="1:2" x14ac:dyDescent="0.25">
      <c r="A50" s="3" t="s">
        <v>144</v>
      </c>
      <c r="B50" s="10">
        <v>5810</v>
      </c>
    </row>
    <row r="51" spans="1:2" x14ac:dyDescent="0.25">
      <c r="A51" s="3" t="s">
        <v>145</v>
      </c>
      <c r="B51" s="10">
        <v>14720</v>
      </c>
    </row>
    <row r="52" spans="1:2" x14ac:dyDescent="0.25">
      <c r="A52" s="3" t="s">
        <v>142</v>
      </c>
      <c r="B52" s="10">
        <v>12175</v>
      </c>
    </row>
    <row r="53" spans="1:2" x14ac:dyDescent="0.25">
      <c r="A53" s="3" t="s">
        <v>145</v>
      </c>
      <c r="B53" s="10">
        <v>10968</v>
      </c>
    </row>
    <row r="54" spans="1:2" x14ac:dyDescent="0.25">
      <c r="A54" s="3" t="s">
        <v>145</v>
      </c>
      <c r="B54" s="10">
        <v>5220</v>
      </c>
    </row>
    <row r="55" spans="1:2" x14ac:dyDescent="0.25">
      <c r="A55" s="3" t="s">
        <v>143</v>
      </c>
      <c r="B55" s="10">
        <v>5715</v>
      </c>
    </row>
    <row r="56" spans="1:2" x14ac:dyDescent="0.25">
      <c r="A56" s="3" t="s">
        <v>142</v>
      </c>
      <c r="B56" s="10">
        <v>5510</v>
      </c>
    </row>
    <row r="57" spans="1:2" x14ac:dyDescent="0.25">
      <c r="A57" s="3" t="s">
        <v>143</v>
      </c>
      <c r="B57" s="10">
        <v>412</v>
      </c>
    </row>
    <row r="58" spans="1:2" x14ac:dyDescent="0.25">
      <c r="A58" s="3" t="s">
        <v>142</v>
      </c>
      <c r="B58" s="10">
        <v>5337</v>
      </c>
    </row>
    <row r="59" spans="1:2" x14ac:dyDescent="0.25">
      <c r="A59" s="3" t="s">
        <v>144</v>
      </c>
      <c r="B59" s="10">
        <v>2136</v>
      </c>
    </row>
    <row r="60" spans="1:2" x14ac:dyDescent="0.25">
      <c r="A60" s="3" t="s">
        <v>142</v>
      </c>
      <c r="B60" s="10">
        <v>1605</v>
      </c>
    </row>
    <row r="61" spans="1:2" x14ac:dyDescent="0.25">
      <c r="A61" s="3" t="s">
        <v>142</v>
      </c>
      <c r="B61" s="10">
        <v>3832</v>
      </c>
    </row>
    <row r="62" spans="1:2" x14ac:dyDescent="0.25">
      <c r="A62" s="3" t="s">
        <v>142</v>
      </c>
      <c r="B62" s="10">
        <v>8064</v>
      </c>
    </row>
    <row r="63" spans="1:2" x14ac:dyDescent="0.25">
      <c r="A63" s="3" t="s">
        <v>145</v>
      </c>
      <c r="B63" s="10">
        <v>3861</v>
      </c>
    </row>
    <row r="64" spans="1:2" x14ac:dyDescent="0.25">
      <c r="A64" s="3" t="s">
        <v>145</v>
      </c>
      <c r="B64" s="10">
        <v>3694</v>
      </c>
    </row>
    <row r="65" spans="1:2" x14ac:dyDescent="0.25">
      <c r="A65" s="3" t="s">
        <v>144</v>
      </c>
      <c r="B65" s="10">
        <v>2400</v>
      </c>
    </row>
    <row r="66" spans="1:2" x14ac:dyDescent="0.25">
      <c r="A66" s="3" t="s">
        <v>144</v>
      </c>
      <c r="B66" s="10">
        <v>1948</v>
      </c>
    </row>
    <row r="67" spans="1:2" x14ac:dyDescent="0.25">
      <c r="A67" s="3" t="s">
        <v>144</v>
      </c>
      <c r="B67" s="10">
        <v>8406</v>
      </c>
    </row>
    <row r="68" spans="1:2" x14ac:dyDescent="0.25">
      <c r="A68" s="3" t="s">
        <v>142</v>
      </c>
      <c r="B68" s="10">
        <v>7220</v>
      </c>
    </row>
    <row r="69" spans="1:2" x14ac:dyDescent="0.25">
      <c r="A69" s="3" t="s">
        <v>145</v>
      </c>
      <c r="B69" s="10">
        <v>4128</v>
      </c>
    </row>
    <row r="70" spans="1:2" x14ac:dyDescent="0.25">
      <c r="A70" s="3" t="s">
        <v>145</v>
      </c>
      <c r="B70" s="10">
        <v>4634</v>
      </c>
    </row>
    <row r="71" spans="1:2" x14ac:dyDescent="0.25">
      <c r="A71" s="3" t="s">
        <v>145</v>
      </c>
      <c r="B71" s="10">
        <v>2031</v>
      </c>
    </row>
    <row r="72" spans="1:2" x14ac:dyDescent="0.25">
      <c r="A72" s="3" t="s">
        <v>144</v>
      </c>
      <c r="B72" s="10">
        <v>9832</v>
      </c>
    </row>
    <row r="73" spans="1:2" x14ac:dyDescent="0.25">
      <c r="A73" s="3" t="s">
        <v>144</v>
      </c>
      <c r="B73" s="10">
        <v>416</v>
      </c>
    </row>
    <row r="74" spans="1:2" x14ac:dyDescent="0.25">
      <c r="A74" s="3" t="s">
        <v>143</v>
      </c>
      <c r="B74" s="10">
        <v>12085</v>
      </c>
    </row>
    <row r="75" spans="1:2" x14ac:dyDescent="0.25">
      <c r="A75" s="3" t="s">
        <v>142</v>
      </c>
      <c r="B75" s="10">
        <v>2129</v>
      </c>
    </row>
    <row r="76" spans="1:2" x14ac:dyDescent="0.25">
      <c r="A76" s="3" t="s">
        <v>143</v>
      </c>
      <c r="B76" s="10">
        <v>8067</v>
      </c>
    </row>
    <row r="77" spans="1:2" x14ac:dyDescent="0.25">
      <c r="A77" s="3" t="s">
        <v>143</v>
      </c>
      <c r="B77" s="10">
        <v>1245</v>
      </c>
    </row>
    <row r="78" spans="1:2" x14ac:dyDescent="0.25">
      <c r="A78" s="3" t="s">
        <v>145</v>
      </c>
      <c r="B78" s="10">
        <v>6200</v>
      </c>
    </row>
    <row r="79" spans="1:2" x14ac:dyDescent="0.25">
      <c r="A79" s="3" t="s">
        <v>144</v>
      </c>
      <c r="B79" s="10">
        <v>9376</v>
      </c>
    </row>
    <row r="80" spans="1:2" x14ac:dyDescent="0.25">
      <c r="A80" s="3" t="s">
        <v>142</v>
      </c>
      <c r="B80" s="10">
        <v>6030</v>
      </c>
    </row>
    <row r="81" spans="1:2" x14ac:dyDescent="0.25">
      <c r="A81" s="3" t="s">
        <v>145</v>
      </c>
      <c r="B81" s="10">
        <v>1506</v>
      </c>
    </row>
    <row r="82" spans="1:2" x14ac:dyDescent="0.25">
      <c r="A82" s="3" t="s">
        <v>145</v>
      </c>
      <c r="B82" s="10">
        <v>3560</v>
      </c>
    </row>
    <row r="83" spans="1:2" x14ac:dyDescent="0.25">
      <c r="A83" s="3" t="s">
        <v>145</v>
      </c>
      <c r="B83" s="10">
        <v>8922</v>
      </c>
    </row>
    <row r="84" spans="1:2" x14ac:dyDescent="0.25">
      <c r="A84" s="3" t="s">
        <v>143</v>
      </c>
      <c r="B84" s="10">
        <v>1194</v>
      </c>
    </row>
    <row r="85" spans="1:2" x14ac:dyDescent="0.25">
      <c r="A85" s="3" t="s">
        <v>145</v>
      </c>
      <c r="B85" s="10">
        <v>5725</v>
      </c>
    </row>
    <row r="86" spans="1:2" x14ac:dyDescent="0.25">
      <c r="A86" s="3" t="s">
        <v>142</v>
      </c>
      <c r="B86" s="10">
        <v>3832</v>
      </c>
    </row>
    <row r="87" spans="1:2" x14ac:dyDescent="0.25">
      <c r="A87" s="3" t="s">
        <v>144</v>
      </c>
      <c r="B87" s="10">
        <v>11976</v>
      </c>
    </row>
    <row r="88" spans="1:2" x14ac:dyDescent="0.25">
      <c r="A88" s="3" t="s">
        <v>144</v>
      </c>
      <c r="B88" s="10">
        <v>11240</v>
      </c>
    </row>
    <row r="89" spans="1:2" x14ac:dyDescent="0.25">
      <c r="A89" s="3" t="s">
        <v>144</v>
      </c>
      <c r="B89" s="10">
        <v>2393</v>
      </c>
    </row>
    <row r="90" spans="1:2" x14ac:dyDescent="0.25">
      <c r="A90" s="3" t="s">
        <v>142</v>
      </c>
      <c r="B90" s="10">
        <v>2659</v>
      </c>
    </row>
    <row r="91" spans="1:2" x14ac:dyDescent="0.25">
      <c r="A91" s="3" t="s">
        <v>145</v>
      </c>
      <c r="B91" s="10">
        <v>10272</v>
      </c>
    </row>
    <row r="92" spans="1:2" x14ac:dyDescent="0.25">
      <c r="A92" s="3" t="s">
        <v>143</v>
      </c>
      <c r="B92" s="10">
        <v>5834</v>
      </c>
    </row>
    <row r="93" spans="1:2" x14ac:dyDescent="0.25">
      <c r="A93" s="3" t="s">
        <v>144</v>
      </c>
      <c r="B93" s="10">
        <v>3680</v>
      </c>
    </row>
    <row r="94" spans="1:2" x14ac:dyDescent="0.25">
      <c r="A94" s="3" t="s">
        <v>142</v>
      </c>
      <c r="B94" s="10">
        <v>10336</v>
      </c>
    </row>
    <row r="95" spans="1:2" x14ac:dyDescent="0.25">
      <c r="A95" s="3" t="s">
        <v>143</v>
      </c>
      <c r="B95" s="10">
        <v>11916</v>
      </c>
    </row>
    <row r="96" spans="1:2" x14ac:dyDescent="0.25">
      <c r="A96" s="3" t="s">
        <v>143</v>
      </c>
      <c r="B96" s="10">
        <v>4296</v>
      </c>
    </row>
    <row r="97" spans="1:2" x14ac:dyDescent="0.25">
      <c r="A97" s="3" t="s">
        <v>145</v>
      </c>
      <c r="B97" s="10">
        <v>1222</v>
      </c>
    </row>
    <row r="98" spans="1:2" x14ac:dyDescent="0.25">
      <c r="A98" s="3" t="s">
        <v>143</v>
      </c>
      <c r="B98" s="10">
        <v>2873</v>
      </c>
    </row>
    <row r="99" spans="1:2" x14ac:dyDescent="0.25">
      <c r="A99" s="3" t="s">
        <v>142</v>
      </c>
      <c r="B99" s="10">
        <v>1827</v>
      </c>
    </row>
    <row r="100" spans="1:2" x14ac:dyDescent="0.25">
      <c r="A100" s="3" t="s">
        <v>142</v>
      </c>
      <c r="B100" s="10">
        <v>11952</v>
      </c>
    </row>
    <row r="101" spans="1:2" x14ac:dyDescent="0.25">
      <c r="A101" s="3" t="s">
        <v>142</v>
      </c>
      <c r="B101" s="10">
        <v>7704</v>
      </c>
    </row>
    <row r="102" spans="1:2" x14ac:dyDescent="0.25">
      <c r="A102" s="3" t="s">
        <v>145</v>
      </c>
      <c r="B102" s="10">
        <v>5622</v>
      </c>
    </row>
    <row r="103" spans="1:2" x14ac:dyDescent="0.25">
      <c r="A103" s="3" t="s">
        <v>144</v>
      </c>
      <c r="B103" s="10">
        <v>7595</v>
      </c>
    </row>
    <row r="104" spans="1:2" x14ac:dyDescent="0.25">
      <c r="A104" s="3" t="s">
        <v>144</v>
      </c>
      <c r="B104" s="10">
        <v>2989</v>
      </c>
    </row>
    <row r="105" spans="1:2" x14ac:dyDescent="0.25">
      <c r="A105" s="3" t="s">
        <v>142</v>
      </c>
      <c r="B105" s="10">
        <v>490</v>
      </c>
    </row>
    <row r="106" spans="1:2" x14ac:dyDescent="0.25">
      <c r="A106" s="3" t="s">
        <v>142</v>
      </c>
      <c r="B106" s="10">
        <v>1970</v>
      </c>
    </row>
    <row r="107" spans="1:2" x14ac:dyDescent="0.25">
      <c r="A107" s="3" t="s">
        <v>145</v>
      </c>
      <c r="B107" s="10">
        <v>1780</v>
      </c>
    </row>
    <row r="108" spans="1:2" x14ac:dyDescent="0.25">
      <c r="A108" s="3" t="s">
        <v>145</v>
      </c>
      <c r="B108" s="10">
        <v>9024</v>
      </c>
    </row>
    <row r="109" spans="1:2" x14ac:dyDescent="0.25">
      <c r="A109" s="3" t="s">
        <v>145</v>
      </c>
      <c r="B109" s="10">
        <v>8784</v>
      </c>
    </row>
    <row r="110" spans="1:2" x14ac:dyDescent="0.25">
      <c r="A110" s="3" t="s">
        <v>142</v>
      </c>
      <c r="B110" s="10">
        <v>128</v>
      </c>
    </row>
    <row r="111" spans="1:2" x14ac:dyDescent="0.25">
      <c r="A111" s="3" t="s">
        <v>144</v>
      </c>
      <c r="B111" s="10">
        <v>12110</v>
      </c>
    </row>
    <row r="112" spans="1:2" x14ac:dyDescent="0.25">
      <c r="A112" s="3" t="s">
        <v>142</v>
      </c>
      <c r="B112" s="10">
        <v>4000</v>
      </c>
    </row>
    <row r="113" spans="1:2" x14ac:dyDescent="0.25">
      <c r="A113" s="3" t="s">
        <v>144</v>
      </c>
      <c r="B113" s="10">
        <v>2820</v>
      </c>
    </row>
    <row r="114" spans="1:2" x14ac:dyDescent="0.25">
      <c r="A114" s="3" t="s">
        <v>142</v>
      </c>
      <c r="B114" s="10">
        <v>10712</v>
      </c>
    </row>
    <row r="115" spans="1:2" x14ac:dyDescent="0.25">
      <c r="A115" s="3" t="s">
        <v>145</v>
      </c>
      <c r="B115" s="10">
        <v>6572</v>
      </c>
    </row>
    <row r="116" spans="1:2" x14ac:dyDescent="0.25">
      <c r="A116" s="3" t="s">
        <v>143</v>
      </c>
      <c r="B116" s="10">
        <v>2102</v>
      </c>
    </row>
    <row r="117" spans="1:2" x14ac:dyDescent="0.25">
      <c r="A117" s="3" t="s">
        <v>144</v>
      </c>
      <c r="B117" s="10">
        <v>731</v>
      </c>
    </row>
    <row r="118" spans="1:2" x14ac:dyDescent="0.25">
      <c r="A118" s="3" t="s">
        <v>144</v>
      </c>
      <c r="B118" s="10">
        <v>645</v>
      </c>
    </row>
    <row r="119" spans="1:2" x14ac:dyDescent="0.25">
      <c r="A119" s="3" t="s">
        <v>142</v>
      </c>
      <c r="B119" s="10">
        <v>2590</v>
      </c>
    </row>
    <row r="120" spans="1:2" x14ac:dyDescent="0.25">
      <c r="A120" s="3" t="s">
        <v>143</v>
      </c>
      <c r="B120" s="10">
        <v>742</v>
      </c>
    </row>
    <row r="121" spans="1:2" x14ac:dyDescent="0.25">
      <c r="A121" s="3" t="s">
        <v>144</v>
      </c>
      <c r="B121" s="10">
        <v>11164</v>
      </c>
    </row>
    <row r="122" spans="1:2" x14ac:dyDescent="0.25">
      <c r="A122" s="3" t="s">
        <v>145</v>
      </c>
      <c r="B122" s="10">
        <v>2364</v>
      </c>
    </row>
    <row r="123" spans="1:2" x14ac:dyDescent="0.25">
      <c r="A123" s="3" t="s">
        <v>143</v>
      </c>
      <c r="B123" s="10">
        <v>14115</v>
      </c>
    </row>
    <row r="124" spans="1:2" x14ac:dyDescent="0.25">
      <c r="A124" s="3" t="s">
        <v>145</v>
      </c>
      <c r="B124" s="10">
        <v>11248</v>
      </c>
    </row>
    <row r="125" spans="1:2" x14ac:dyDescent="0.25">
      <c r="A125" s="3" t="s">
        <v>143</v>
      </c>
      <c r="B125" s="10">
        <v>2872</v>
      </c>
    </row>
    <row r="126" spans="1:2" x14ac:dyDescent="0.25">
      <c r="A126" s="3" t="s">
        <v>142</v>
      </c>
      <c r="B126" s="10">
        <v>2863</v>
      </c>
    </row>
    <row r="127" spans="1:2" x14ac:dyDescent="0.25">
      <c r="A127" s="3" t="s">
        <v>142</v>
      </c>
      <c r="B127" s="10">
        <v>1245</v>
      </c>
    </row>
    <row r="128" spans="1:2" x14ac:dyDescent="0.25">
      <c r="A128" s="3" t="s">
        <v>145</v>
      </c>
      <c r="B128" s="10">
        <v>9852</v>
      </c>
    </row>
    <row r="129" spans="1:2" x14ac:dyDescent="0.25">
      <c r="A129" s="3" t="s">
        <v>145</v>
      </c>
      <c r="B129" s="10">
        <v>5092</v>
      </c>
    </row>
    <row r="130" spans="1:2" x14ac:dyDescent="0.25">
      <c r="A130" s="3" t="s">
        <v>145</v>
      </c>
      <c r="B130" s="10">
        <v>2922</v>
      </c>
    </row>
    <row r="131" spans="1:2" x14ac:dyDescent="0.25">
      <c r="A131" s="3" t="s">
        <v>143</v>
      </c>
      <c r="B131" s="10">
        <v>8176</v>
      </c>
    </row>
    <row r="132" spans="1:2" x14ac:dyDescent="0.25">
      <c r="A132" s="3" t="s">
        <v>144</v>
      </c>
      <c r="B132" s="10">
        <v>4372</v>
      </c>
    </row>
    <row r="133" spans="1:2" x14ac:dyDescent="0.25">
      <c r="A133" s="3" t="s">
        <v>145</v>
      </c>
      <c r="B133" s="10">
        <v>3213</v>
      </c>
    </row>
    <row r="134" spans="1:2" x14ac:dyDescent="0.25">
      <c r="A134" s="3" t="s">
        <v>145</v>
      </c>
      <c r="B134" s="10">
        <v>4876</v>
      </c>
    </row>
    <row r="135" spans="1:2" x14ac:dyDescent="0.25">
      <c r="A135" s="3" t="s">
        <v>143</v>
      </c>
      <c r="B135" s="10">
        <v>2530</v>
      </c>
    </row>
    <row r="136" spans="1:2" x14ac:dyDescent="0.25">
      <c r="A136" s="3" t="s">
        <v>145</v>
      </c>
      <c r="B136" s="10">
        <v>13595</v>
      </c>
    </row>
    <row r="137" spans="1:2" x14ac:dyDescent="0.25">
      <c r="A137" s="3" t="s">
        <v>142</v>
      </c>
      <c r="B137" s="10">
        <v>1672</v>
      </c>
    </row>
    <row r="138" spans="1:2" x14ac:dyDescent="0.25">
      <c r="A138" s="3" t="s">
        <v>145</v>
      </c>
      <c r="B138" s="10">
        <v>5250</v>
      </c>
    </row>
    <row r="139" spans="1:2" x14ac:dyDescent="0.25">
      <c r="A139" s="3" t="s">
        <v>144</v>
      </c>
      <c r="B139" s="10">
        <v>1276</v>
      </c>
    </row>
    <row r="140" spans="1:2" x14ac:dyDescent="0.25">
      <c r="A140" s="3" t="s">
        <v>144</v>
      </c>
      <c r="B140" s="10">
        <v>4848</v>
      </c>
    </row>
    <row r="141" spans="1:2" x14ac:dyDescent="0.25">
      <c r="A141" s="3" t="s">
        <v>143</v>
      </c>
      <c r="B141" s="10">
        <v>7570</v>
      </c>
    </row>
    <row r="142" spans="1:2" x14ac:dyDescent="0.25">
      <c r="A142" s="3" t="s">
        <v>144</v>
      </c>
      <c r="B142" s="10">
        <v>7590</v>
      </c>
    </row>
    <row r="143" spans="1:2" x14ac:dyDescent="0.25">
      <c r="A143" s="3" t="s">
        <v>142</v>
      </c>
      <c r="B143" s="10">
        <v>444</v>
      </c>
    </row>
    <row r="144" spans="1:2" x14ac:dyDescent="0.25">
      <c r="A144" s="3" t="s">
        <v>143</v>
      </c>
      <c r="B144" s="10">
        <v>10530</v>
      </c>
    </row>
    <row r="145" spans="1:2" x14ac:dyDescent="0.25">
      <c r="A145" s="3" t="s">
        <v>143</v>
      </c>
      <c r="B145" s="10">
        <v>5469</v>
      </c>
    </row>
    <row r="146" spans="1:2" x14ac:dyDescent="0.25">
      <c r="A146" s="3" t="s">
        <v>145</v>
      </c>
      <c r="B146" s="10">
        <v>6039</v>
      </c>
    </row>
    <row r="147" spans="1:2" x14ac:dyDescent="0.25">
      <c r="A147" s="3" t="s">
        <v>143</v>
      </c>
      <c r="B147" s="10">
        <v>1379</v>
      </c>
    </row>
    <row r="148" spans="1:2" x14ac:dyDescent="0.25">
      <c r="A148" s="3" t="s">
        <v>143</v>
      </c>
      <c r="B148" s="10">
        <v>7872</v>
      </c>
    </row>
    <row r="149" spans="1:2" x14ac:dyDescent="0.25">
      <c r="A149" s="3" t="s">
        <v>142</v>
      </c>
      <c r="B149" s="10">
        <v>5274</v>
      </c>
    </row>
    <row r="150" spans="1:2" x14ac:dyDescent="0.25">
      <c r="A150" s="3" t="s">
        <v>145</v>
      </c>
      <c r="B150" s="10">
        <v>450</v>
      </c>
    </row>
    <row r="151" spans="1:2" x14ac:dyDescent="0.25">
      <c r="A151" s="3" t="s">
        <v>143</v>
      </c>
      <c r="B151" s="10">
        <v>1231</v>
      </c>
    </row>
    <row r="152" spans="1:2" x14ac:dyDescent="0.25">
      <c r="A152" s="3" t="s">
        <v>143</v>
      </c>
      <c r="B152" s="10">
        <v>5850</v>
      </c>
    </row>
    <row r="153" spans="1:2" x14ac:dyDescent="0.25">
      <c r="A153" s="3" t="s">
        <v>143</v>
      </c>
      <c r="B153" s="10">
        <v>4208</v>
      </c>
    </row>
    <row r="154" spans="1:2" x14ac:dyDescent="0.25">
      <c r="A154" s="3" t="s">
        <v>142</v>
      </c>
      <c r="B154" s="10">
        <v>2472</v>
      </c>
    </row>
    <row r="155" spans="1:2" x14ac:dyDescent="0.25">
      <c r="A155" s="3" t="s">
        <v>145</v>
      </c>
      <c r="B155" s="10">
        <v>8976</v>
      </c>
    </row>
    <row r="156" spans="1:2" x14ac:dyDescent="0.25">
      <c r="A156" s="3" t="s">
        <v>145</v>
      </c>
      <c r="B156" s="10">
        <v>11676</v>
      </c>
    </row>
    <row r="157" spans="1:2" x14ac:dyDescent="0.25">
      <c r="A157" s="3" t="s">
        <v>143</v>
      </c>
      <c r="B157" s="10">
        <v>4648</v>
      </c>
    </row>
  </sheetData>
  <mergeCells count="4">
    <mergeCell ref="A2:F2"/>
    <mergeCell ref="D7:E7"/>
    <mergeCell ref="H7:J7"/>
    <mergeCell ref="M7:O7"/>
  </mergeCells>
  <conditionalFormatting sqref="H9:H12">
    <cfRule type="colorScale" priority="6">
      <colorScale>
        <cfvo type="min"/>
        <cfvo type="percentile" val="50"/>
        <cfvo type="max"/>
        <color rgb="FFF8696B"/>
        <color rgb="FFFFEB84"/>
        <color rgb="FF63BE7B"/>
      </colorScale>
    </cfRule>
  </conditionalFormatting>
  <conditionalFormatting sqref="I9:I12">
    <cfRule type="dataBar" priority="2">
      <dataBar>
        <cfvo type="min"/>
        <cfvo type="max"/>
        <color rgb="FF63C384"/>
      </dataBar>
      <extLst>
        <ext xmlns:x14="http://schemas.microsoft.com/office/spreadsheetml/2009/9/main" uri="{B025F937-C7B1-47D3-B67F-A62EFF666E3E}">
          <x14:id>{ADF53D3D-1434-4CE5-A12B-2E27761DAB42}</x14:id>
        </ext>
      </extLst>
    </cfRule>
  </conditionalFormatting>
  <conditionalFormatting sqref="N9:N12">
    <cfRule type="dataBar" priority="1">
      <dataBar>
        <cfvo type="min"/>
        <cfvo type="max"/>
        <color rgb="FF63C384"/>
      </dataBar>
      <extLst>
        <ext xmlns:x14="http://schemas.microsoft.com/office/spreadsheetml/2009/9/main" uri="{B025F937-C7B1-47D3-B67F-A62EFF666E3E}">
          <x14:id>{BBB1C087-1548-4DFD-A5B5-1BFB4461A354}</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ADF53D3D-1434-4CE5-A12B-2E27761DAB42}">
            <x14:dataBar minLength="0" maxLength="100" border="1" negativeBarBorderColorSameAsPositive="0">
              <x14:cfvo type="autoMin"/>
              <x14:cfvo type="autoMax"/>
              <x14:borderColor rgb="FF63C384"/>
              <x14:negativeFillColor rgb="FFFF0000"/>
              <x14:negativeBorderColor rgb="FFFF0000"/>
              <x14:axisColor rgb="FF000000"/>
            </x14:dataBar>
          </x14:cfRule>
          <xm:sqref>I9:I12</xm:sqref>
        </x14:conditionalFormatting>
        <x14:conditionalFormatting xmlns:xm="http://schemas.microsoft.com/office/excel/2006/main">
          <x14:cfRule type="dataBar" id="{BBB1C087-1548-4DFD-A5B5-1BFB4461A354}">
            <x14:dataBar minLength="0" maxLength="100" border="1" negativeBarBorderColorSameAsPositive="0">
              <x14:cfvo type="autoMin"/>
              <x14:cfvo type="autoMax"/>
              <x14:borderColor rgb="FF63C384"/>
              <x14:negativeFillColor rgb="FFFF0000"/>
              <x14:negativeBorderColor rgb="FFFF0000"/>
              <x14:axisColor rgb="FF000000"/>
            </x14:dataBar>
          </x14:cfRule>
          <xm:sqref>N9:N12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0842-F6A0-437C-AA9A-6ED26C085DE4}">
  <sheetPr codeName="Sheet5"/>
  <dimension ref="A2:O157"/>
  <sheetViews>
    <sheetView showGridLines="0" zoomScaleNormal="100" workbookViewId="0"/>
  </sheetViews>
  <sheetFormatPr defaultRowHeight="15" x14ac:dyDescent="0.25"/>
  <cols>
    <col min="1" max="1" width="13.140625" bestFit="1" customWidth="1"/>
    <col min="2" max="2" width="23.85546875" bestFit="1" customWidth="1"/>
    <col min="3" max="3" width="19.28515625" bestFit="1" customWidth="1"/>
    <col min="4" max="4" width="13.140625" bestFit="1" customWidth="1"/>
    <col min="5" max="6" width="23.85546875" bestFit="1" customWidth="1"/>
    <col min="9" max="9" width="12.85546875" bestFit="1" customWidth="1"/>
    <col min="14" max="14" width="12.85546875" bestFit="1" customWidth="1"/>
  </cols>
  <sheetData>
    <row r="2" spans="1:15" x14ac:dyDescent="0.25">
      <c r="A2" s="27" t="s">
        <v>188</v>
      </c>
      <c r="B2" s="27"/>
      <c r="C2" s="27"/>
      <c r="D2" s="27"/>
      <c r="E2" s="27"/>
      <c r="F2" s="27"/>
    </row>
    <row r="7" spans="1:15" x14ac:dyDescent="0.25">
      <c r="A7" t="s">
        <v>3</v>
      </c>
      <c r="B7" t="s">
        <v>6</v>
      </c>
      <c r="D7" s="28" t="s">
        <v>170</v>
      </c>
      <c r="E7" s="28"/>
      <c r="H7" s="28" t="s">
        <v>168</v>
      </c>
      <c r="I7" s="28"/>
      <c r="J7" s="28"/>
      <c r="M7" s="28" t="s">
        <v>169</v>
      </c>
      <c r="N7" s="28"/>
      <c r="O7" s="28"/>
    </row>
    <row r="8" spans="1:15" x14ac:dyDescent="0.25">
      <c r="A8" t="s">
        <v>146</v>
      </c>
      <c r="B8" s="10">
        <v>5576</v>
      </c>
    </row>
    <row r="9" spans="1:15" x14ac:dyDescent="0.25">
      <c r="A9" t="s">
        <v>147</v>
      </c>
      <c r="B9" s="10">
        <v>7032</v>
      </c>
      <c r="D9" s="2" t="s">
        <v>150</v>
      </c>
      <c r="E9" t="s">
        <v>152</v>
      </c>
      <c r="H9" s="6" t="str" cm="1">
        <f t="array" ref="H9:H12">_xlfn._xlws.SORT(_xlfn.UNIQUE(Top_4_clienti[Client]))</f>
        <v>Client A</v>
      </c>
      <c r="I9" s="12">
        <f>SUMIFS(Top_4_clienti[Total vânzare (lei)],Top_4_clienti[Client],H9)</f>
        <v>207169</v>
      </c>
      <c r="M9" s="6" t="str" cm="1">
        <f t="array" ref="M9:M12">_xlfn._xlws.SORT(_xlfn.UNIQUE(Top_4_clienti[Client]))</f>
        <v>Client A</v>
      </c>
      <c r="N9" s="12" cm="1">
        <f t="array" ref="N9">SUMPRODUCT((Top_4_clienti[Client]="Client D")*(Top_4_clienti[Total vânzare (lei)]))</f>
        <v>175827</v>
      </c>
    </row>
    <row r="10" spans="1:15" x14ac:dyDescent="0.25">
      <c r="A10" t="s">
        <v>148</v>
      </c>
      <c r="B10" s="10">
        <v>4200</v>
      </c>
      <c r="D10" s="3" t="s">
        <v>148</v>
      </c>
      <c r="E10" s="10">
        <v>207169</v>
      </c>
      <c r="H10" s="6" t="str">
        <v>Client B</v>
      </c>
      <c r="I10" s="12">
        <f>SUMIFS(Top_4_clienti[Total vânzare (lei)],Top_4_clienti[Client],H10)</f>
        <v>182026</v>
      </c>
      <c r="M10" s="6" t="str">
        <v>Client B</v>
      </c>
      <c r="N10" s="12" cm="1">
        <f t="array" ref="N10">SUMPRODUCT((Top_4_clienti[Client]="Client C")*(Top_4_clienti[Total vânzare (lei)]))</f>
        <v>222096</v>
      </c>
    </row>
    <row r="11" spans="1:15" x14ac:dyDescent="0.25">
      <c r="A11" t="s">
        <v>147</v>
      </c>
      <c r="B11" s="10">
        <v>4065</v>
      </c>
      <c r="D11" s="3" t="s">
        <v>149</v>
      </c>
      <c r="E11" s="10">
        <v>182026</v>
      </c>
      <c r="H11" s="6" t="str">
        <v>Client C</v>
      </c>
      <c r="I11" s="12">
        <f>SUMIFS(Top_4_clienti[Total vânzare (lei)],Top_4_clienti[Client],H11)</f>
        <v>222096</v>
      </c>
      <c r="M11" s="6" t="str">
        <v>Client C</v>
      </c>
      <c r="N11" s="12" cm="1">
        <f t="array" ref="N11">SUMPRODUCT((Top_4_clienti[Client]="Client A")*(Top_4_clienti[Total vânzare (lei)]))</f>
        <v>207169</v>
      </c>
    </row>
    <row r="12" spans="1:15" x14ac:dyDescent="0.25">
      <c r="A12" t="s">
        <v>147</v>
      </c>
      <c r="B12" s="10">
        <v>4860</v>
      </c>
      <c r="D12" s="3" t="s">
        <v>147</v>
      </c>
      <c r="E12" s="10">
        <v>222096</v>
      </c>
      <c r="H12" s="6" t="str">
        <v>Client D</v>
      </c>
      <c r="I12" s="12">
        <f>SUMIFS(Top_4_clienti[Total vânzare (lei)],Top_4_clienti[Client],H12)</f>
        <v>175827</v>
      </c>
      <c r="M12" s="6" t="str">
        <v>Client D</v>
      </c>
      <c r="N12" s="12" cm="1">
        <f t="array" ref="N12">SUMPRODUCT((Top_4_clienti[Client]="Client B")*(Top_4_clienti[Total vânzare (lei)]))</f>
        <v>182026</v>
      </c>
    </row>
    <row r="13" spans="1:15" x14ac:dyDescent="0.25">
      <c r="A13" t="s">
        <v>146</v>
      </c>
      <c r="B13" s="10">
        <v>10852</v>
      </c>
      <c r="D13" s="3" t="s">
        <v>146</v>
      </c>
      <c r="E13" s="10">
        <v>175827</v>
      </c>
    </row>
    <row r="14" spans="1:15" x14ac:dyDescent="0.25">
      <c r="A14" t="s">
        <v>147</v>
      </c>
      <c r="B14" s="10">
        <v>3306</v>
      </c>
      <c r="D14" s="3" t="s">
        <v>151</v>
      </c>
      <c r="E14" s="10">
        <v>787118</v>
      </c>
    </row>
    <row r="15" spans="1:15" x14ac:dyDescent="0.25">
      <c r="A15" t="s">
        <v>147</v>
      </c>
      <c r="B15" s="10">
        <v>7035</v>
      </c>
    </row>
    <row r="16" spans="1:15" x14ac:dyDescent="0.25">
      <c r="A16" t="s">
        <v>149</v>
      </c>
      <c r="B16" s="10">
        <v>865</v>
      </c>
    </row>
    <row r="17" spans="1:2" x14ac:dyDescent="0.25">
      <c r="A17" t="s">
        <v>147</v>
      </c>
      <c r="B17" s="10">
        <v>320</v>
      </c>
    </row>
    <row r="18" spans="1:2" x14ac:dyDescent="0.25">
      <c r="A18" t="s">
        <v>146</v>
      </c>
      <c r="B18" s="10">
        <v>7780</v>
      </c>
    </row>
    <row r="19" spans="1:2" x14ac:dyDescent="0.25">
      <c r="A19" t="s">
        <v>146</v>
      </c>
      <c r="B19" s="10">
        <v>1045</v>
      </c>
    </row>
    <row r="20" spans="1:2" x14ac:dyDescent="0.25">
      <c r="A20" t="s">
        <v>149</v>
      </c>
      <c r="B20" s="10">
        <v>2978</v>
      </c>
    </row>
    <row r="21" spans="1:2" x14ac:dyDescent="0.25">
      <c r="A21" t="s">
        <v>148</v>
      </c>
      <c r="B21" s="10">
        <v>688</v>
      </c>
    </row>
    <row r="22" spans="1:2" x14ac:dyDescent="0.25">
      <c r="A22" t="s">
        <v>148</v>
      </c>
      <c r="B22" s="10">
        <v>3525</v>
      </c>
    </row>
    <row r="23" spans="1:2" x14ac:dyDescent="0.25">
      <c r="A23" t="s">
        <v>149</v>
      </c>
      <c r="B23" s="10">
        <v>3320</v>
      </c>
    </row>
    <row r="24" spans="1:2" x14ac:dyDescent="0.25">
      <c r="A24" t="s">
        <v>148</v>
      </c>
      <c r="B24" s="10">
        <v>5908</v>
      </c>
    </row>
    <row r="25" spans="1:2" x14ac:dyDescent="0.25">
      <c r="A25" t="s">
        <v>147</v>
      </c>
      <c r="B25" s="10">
        <v>2514</v>
      </c>
    </row>
    <row r="26" spans="1:2" x14ac:dyDescent="0.25">
      <c r="A26" t="s">
        <v>149</v>
      </c>
      <c r="B26" s="10">
        <v>4864</v>
      </c>
    </row>
    <row r="27" spans="1:2" x14ac:dyDescent="0.25">
      <c r="A27" t="s">
        <v>148</v>
      </c>
      <c r="B27" s="10">
        <v>7587</v>
      </c>
    </row>
    <row r="28" spans="1:2" x14ac:dyDescent="0.25">
      <c r="A28" t="s">
        <v>146</v>
      </c>
      <c r="B28" s="10">
        <v>2471</v>
      </c>
    </row>
    <row r="29" spans="1:2" x14ac:dyDescent="0.25">
      <c r="A29" t="s">
        <v>146</v>
      </c>
      <c r="B29" s="10">
        <v>1887</v>
      </c>
    </row>
    <row r="30" spans="1:2" x14ac:dyDescent="0.25">
      <c r="A30" t="s">
        <v>149</v>
      </c>
      <c r="B30" s="10">
        <v>10140</v>
      </c>
    </row>
    <row r="31" spans="1:2" x14ac:dyDescent="0.25">
      <c r="A31" t="s">
        <v>146</v>
      </c>
      <c r="B31" s="10">
        <v>13420</v>
      </c>
    </row>
    <row r="32" spans="1:2" x14ac:dyDescent="0.25">
      <c r="A32" t="s">
        <v>149</v>
      </c>
      <c r="B32" s="10">
        <v>1332</v>
      </c>
    </row>
    <row r="33" spans="1:2" x14ac:dyDescent="0.25">
      <c r="A33" t="s">
        <v>146</v>
      </c>
      <c r="B33" s="10">
        <v>5354</v>
      </c>
    </row>
    <row r="34" spans="1:2" x14ac:dyDescent="0.25">
      <c r="A34" t="s">
        <v>146</v>
      </c>
      <c r="B34" s="10">
        <v>8632</v>
      </c>
    </row>
    <row r="35" spans="1:2" x14ac:dyDescent="0.25">
      <c r="A35" t="s">
        <v>149</v>
      </c>
      <c r="B35" s="10">
        <v>7465</v>
      </c>
    </row>
    <row r="36" spans="1:2" x14ac:dyDescent="0.25">
      <c r="A36" t="s">
        <v>149</v>
      </c>
      <c r="B36" s="10">
        <v>2538</v>
      </c>
    </row>
    <row r="37" spans="1:2" x14ac:dyDescent="0.25">
      <c r="A37" t="s">
        <v>148</v>
      </c>
      <c r="B37" s="10">
        <v>2782</v>
      </c>
    </row>
    <row r="38" spans="1:2" x14ac:dyDescent="0.25">
      <c r="A38" t="s">
        <v>147</v>
      </c>
      <c r="B38" s="10">
        <v>2892</v>
      </c>
    </row>
    <row r="39" spans="1:2" x14ac:dyDescent="0.25">
      <c r="A39" t="s">
        <v>147</v>
      </c>
      <c r="B39" s="10">
        <v>4644</v>
      </c>
    </row>
    <row r="40" spans="1:2" x14ac:dyDescent="0.25">
      <c r="A40" t="s">
        <v>148</v>
      </c>
      <c r="B40" s="10">
        <v>1267</v>
      </c>
    </row>
    <row r="41" spans="1:2" x14ac:dyDescent="0.25">
      <c r="A41" t="s">
        <v>148</v>
      </c>
      <c r="B41" s="10">
        <v>1914</v>
      </c>
    </row>
    <row r="42" spans="1:2" x14ac:dyDescent="0.25">
      <c r="A42" t="s">
        <v>147</v>
      </c>
      <c r="B42" s="10">
        <v>1170</v>
      </c>
    </row>
    <row r="43" spans="1:2" x14ac:dyDescent="0.25">
      <c r="A43" t="s">
        <v>146</v>
      </c>
      <c r="B43" s="10">
        <v>4785</v>
      </c>
    </row>
    <row r="44" spans="1:2" x14ac:dyDescent="0.25">
      <c r="A44" t="s">
        <v>147</v>
      </c>
      <c r="B44" s="10">
        <v>4689</v>
      </c>
    </row>
    <row r="45" spans="1:2" x14ac:dyDescent="0.25">
      <c r="A45" t="s">
        <v>146</v>
      </c>
      <c r="B45" s="10">
        <v>12250</v>
      </c>
    </row>
    <row r="46" spans="1:2" x14ac:dyDescent="0.25">
      <c r="A46" t="s">
        <v>147</v>
      </c>
      <c r="B46" s="10">
        <v>11915</v>
      </c>
    </row>
    <row r="47" spans="1:2" x14ac:dyDescent="0.25">
      <c r="A47" t="s">
        <v>149</v>
      </c>
      <c r="B47" s="10">
        <v>1092</v>
      </c>
    </row>
    <row r="48" spans="1:2" x14ac:dyDescent="0.25">
      <c r="A48" t="s">
        <v>149</v>
      </c>
      <c r="B48" s="10">
        <v>8085</v>
      </c>
    </row>
    <row r="49" spans="1:2" x14ac:dyDescent="0.25">
      <c r="A49" t="s">
        <v>147</v>
      </c>
      <c r="B49" s="10">
        <v>1320</v>
      </c>
    </row>
    <row r="50" spans="1:2" x14ac:dyDescent="0.25">
      <c r="A50" t="s">
        <v>147</v>
      </c>
      <c r="B50" s="10">
        <v>5810</v>
      </c>
    </row>
    <row r="51" spans="1:2" x14ac:dyDescent="0.25">
      <c r="A51" t="s">
        <v>148</v>
      </c>
      <c r="B51" s="10">
        <v>14720</v>
      </c>
    </row>
    <row r="52" spans="1:2" x14ac:dyDescent="0.25">
      <c r="A52" t="s">
        <v>148</v>
      </c>
      <c r="B52" s="10">
        <v>12175</v>
      </c>
    </row>
    <row r="53" spans="1:2" x14ac:dyDescent="0.25">
      <c r="A53" t="s">
        <v>146</v>
      </c>
      <c r="B53" s="10">
        <v>10968</v>
      </c>
    </row>
    <row r="54" spans="1:2" x14ac:dyDescent="0.25">
      <c r="A54" t="s">
        <v>149</v>
      </c>
      <c r="B54" s="10">
        <v>5220</v>
      </c>
    </row>
    <row r="55" spans="1:2" x14ac:dyDescent="0.25">
      <c r="A55" t="s">
        <v>147</v>
      </c>
      <c r="B55" s="10">
        <v>5715</v>
      </c>
    </row>
    <row r="56" spans="1:2" x14ac:dyDescent="0.25">
      <c r="A56" t="s">
        <v>147</v>
      </c>
      <c r="B56" s="10">
        <v>5510</v>
      </c>
    </row>
    <row r="57" spans="1:2" x14ac:dyDescent="0.25">
      <c r="A57" t="s">
        <v>149</v>
      </c>
      <c r="B57" s="10">
        <v>412</v>
      </c>
    </row>
    <row r="58" spans="1:2" x14ac:dyDescent="0.25">
      <c r="A58" t="s">
        <v>149</v>
      </c>
      <c r="B58" s="10">
        <v>5337</v>
      </c>
    </row>
    <row r="59" spans="1:2" x14ac:dyDescent="0.25">
      <c r="A59" t="s">
        <v>146</v>
      </c>
      <c r="B59" s="10">
        <v>2136</v>
      </c>
    </row>
    <row r="60" spans="1:2" x14ac:dyDescent="0.25">
      <c r="A60" t="s">
        <v>147</v>
      </c>
      <c r="B60" s="10">
        <v>1605</v>
      </c>
    </row>
    <row r="61" spans="1:2" x14ac:dyDescent="0.25">
      <c r="A61" t="s">
        <v>149</v>
      </c>
      <c r="B61" s="10">
        <v>3832</v>
      </c>
    </row>
    <row r="62" spans="1:2" x14ac:dyDescent="0.25">
      <c r="A62" t="s">
        <v>146</v>
      </c>
      <c r="B62" s="10">
        <v>8064</v>
      </c>
    </row>
    <row r="63" spans="1:2" x14ac:dyDescent="0.25">
      <c r="A63" t="s">
        <v>147</v>
      </c>
      <c r="B63" s="10">
        <v>3861</v>
      </c>
    </row>
    <row r="64" spans="1:2" x14ac:dyDescent="0.25">
      <c r="A64" t="s">
        <v>147</v>
      </c>
      <c r="B64" s="10">
        <v>3694</v>
      </c>
    </row>
    <row r="65" spans="1:2" x14ac:dyDescent="0.25">
      <c r="A65" t="s">
        <v>146</v>
      </c>
      <c r="B65" s="10">
        <v>2400</v>
      </c>
    </row>
    <row r="66" spans="1:2" x14ac:dyDescent="0.25">
      <c r="A66" t="s">
        <v>147</v>
      </c>
      <c r="B66" s="10">
        <v>1948</v>
      </c>
    </row>
    <row r="67" spans="1:2" x14ac:dyDescent="0.25">
      <c r="A67" t="s">
        <v>146</v>
      </c>
      <c r="B67" s="10">
        <v>8406</v>
      </c>
    </row>
    <row r="68" spans="1:2" x14ac:dyDescent="0.25">
      <c r="A68" t="s">
        <v>146</v>
      </c>
      <c r="B68" s="10">
        <v>7220</v>
      </c>
    </row>
    <row r="69" spans="1:2" x14ac:dyDescent="0.25">
      <c r="A69" t="s">
        <v>146</v>
      </c>
      <c r="B69" s="10">
        <v>4128</v>
      </c>
    </row>
    <row r="70" spans="1:2" x14ac:dyDescent="0.25">
      <c r="A70" t="s">
        <v>149</v>
      </c>
      <c r="B70" s="10">
        <v>4634</v>
      </c>
    </row>
    <row r="71" spans="1:2" x14ac:dyDescent="0.25">
      <c r="A71" t="s">
        <v>147</v>
      </c>
      <c r="B71" s="10">
        <v>2031</v>
      </c>
    </row>
    <row r="72" spans="1:2" x14ac:dyDescent="0.25">
      <c r="A72" t="s">
        <v>149</v>
      </c>
      <c r="B72" s="10">
        <v>9832</v>
      </c>
    </row>
    <row r="73" spans="1:2" x14ac:dyDescent="0.25">
      <c r="A73" t="s">
        <v>149</v>
      </c>
      <c r="B73" s="10">
        <v>416</v>
      </c>
    </row>
    <row r="74" spans="1:2" x14ac:dyDescent="0.25">
      <c r="A74" t="s">
        <v>149</v>
      </c>
      <c r="B74" s="10">
        <v>12085</v>
      </c>
    </row>
    <row r="75" spans="1:2" x14ac:dyDescent="0.25">
      <c r="A75" t="s">
        <v>147</v>
      </c>
      <c r="B75" s="10">
        <v>2129</v>
      </c>
    </row>
    <row r="76" spans="1:2" x14ac:dyDescent="0.25">
      <c r="A76" t="s">
        <v>147</v>
      </c>
      <c r="B76" s="10">
        <v>8067</v>
      </c>
    </row>
    <row r="77" spans="1:2" x14ac:dyDescent="0.25">
      <c r="A77" t="s">
        <v>146</v>
      </c>
      <c r="B77" s="10">
        <v>1245</v>
      </c>
    </row>
    <row r="78" spans="1:2" x14ac:dyDescent="0.25">
      <c r="A78" t="s">
        <v>147</v>
      </c>
      <c r="B78" s="10">
        <v>6200</v>
      </c>
    </row>
    <row r="79" spans="1:2" x14ac:dyDescent="0.25">
      <c r="A79" t="s">
        <v>148</v>
      </c>
      <c r="B79" s="10">
        <v>9376</v>
      </c>
    </row>
    <row r="80" spans="1:2" x14ac:dyDescent="0.25">
      <c r="A80" t="s">
        <v>149</v>
      </c>
      <c r="B80" s="10">
        <v>6030</v>
      </c>
    </row>
    <row r="81" spans="1:2" x14ac:dyDescent="0.25">
      <c r="A81" t="s">
        <v>147</v>
      </c>
      <c r="B81" s="10">
        <v>1506</v>
      </c>
    </row>
    <row r="82" spans="1:2" x14ac:dyDescent="0.25">
      <c r="A82" t="s">
        <v>149</v>
      </c>
      <c r="B82" s="10">
        <v>3560</v>
      </c>
    </row>
    <row r="83" spans="1:2" x14ac:dyDescent="0.25">
      <c r="A83" t="s">
        <v>148</v>
      </c>
      <c r="B83" s="10">
        <v>8922</v>
      </c>
    </row>
    <row r="84" spans="1:2" x14ac:dyDescent="0.25">
      <c r="A84" t="s">
        <v>149</v>
      </c>
      <c r="B84" s="10">
        <v>1194</v>
      </c>
    </row>
    <row r="85" spans="1:2" x14ac:dyDescent="0.25">
      <c r="A85" t="s">
        <v>146</v>
      </c>
      <c r="B85" s="10">
        <v>5725</v>
      </c>
    </row>
    <row r="86" spans="1:2" x14ac:dyDescent="0.25">
      <c r="A86" t="s">
        <v>146</v>
      </c>
      <c r="B86" s="10">
        <v>3832</v>
      </c>
    </row>
    <row r="87" spans="1:2" x14ac:dyDescent="0.25">
      <c r="A87" t="s">
        <v>149</v>
      </c>
      <c r="B87" s="10">
        <v>11976</v>
      </c>
    </row>
    <row r="88" spans="1:2" x14ac:dyDescent="0.25">
      <c r="A88" t="s">
        <v>147</v>
      </c>
      <c r="B88" s="10">
        <v>11240</v>
      </c>
    </row>
    <row r="89" spans="1:2" x14ac:dyDescent="0.25">
      <c r="A89" t="s">
        <v>147</v>
      </c>
      <c r="B89" s="10">
        <v>2393</v>
      </c>
    </row>
    <row r="90" spans="1:2" x14ac:dyDescent="0.25">
      <c r="A90" t="s">
        <v>148</v>
      </c>
      <c r="B90" s="10">
        <v>2659</v>
      </c>
    </row>
    <row r="91" spans="1:2" x14ac:dyDescent="0.25">
      <c r="A91" t="s">
        <v>148</v>
      </c>
      <c r="B91" s="10">
        <v>10272</v>
      </c>
    </row>
    <row r="92" spans="1:2" x14ac:dyDescent="0.25">
      <c r="A92" t="s">
        <v>149</v>
      </c>
      <c r="B92" s="10">
        <v>5834</v>
      </c>
    </row>
    <row r="93" spans="1:2" x14ac:dyDescent="0.25">
      <c r="A93" t="s">
        <v>148</v>
      </c>
      <c r="B93" s="10">
        <v>3680</v>
      </c>
    </row>
    <row r="94" spans="1:2" x14ac:dyDescent="0.25">
      <c r="A94" t="s">
        <v>147</v>
      </c>
      <c r="B94" s="10">
        <v>10336</v>
      </c>
    </row>
    <row r="95" spans="1:2" x14ac:dyDescent="0.25">
      <c r="A95" t="s">
        <v>147</v>
      </c>
      <c r="B95" s="10">
        <v>11916</v>
      </c>
    </row>
    <row r="96" spans="1:2" x14ac:dyDescent="0.25">
      <c r="A96" t="s">
        <v>147</v>
      </c>
      <c r="B96" s="10">
        <v>4296</v>
      </c>
    </row>
    <row r="97" spans="1:2" x14ac:dyDescent="0.25">
      <c r="A97" t="s">
        <v>147</v>
      </c>
      <c r="B97" s="10">
        <v>1222</v>
      </c>
    </row>
    <row r="98" spans="1:2" x14ac:dyDescent="0.25">
      <c r="A98" t="s">
        <v>146</v>
      </c>
      <c r="B98" s="10">
        <v>2873</v>
      </c>
    </row>
    <row r="99" spans="1:2" x14ac:dyDescent="0.25">
      <c r="A99" t="s">
        <v>146</v>
      </c>
      <c r="B99" s="10">
        <v>1827</v>
      </c>
    </row>
    <row r="100" spans="1:2" x14ac:dyDescent="0.25">
      <c r="A100" t="s">
        <v>149</v>
      </c>
      <c r="B100" s="10">
        <v>11952</v>
      </c>
    </row>
    <row r="101" spans="1:2" x14ac:dyDescent="0.25">
      <c r="A101" t="s">
        <v>148</v>
      </c>
      <c r="B101" s="10">
        <v>7704</v>
      </c>
    </row>
    <row r="102" spans="1:2" x14ac:dyDescent="0.25">
      <c r="A102" t="s">
        <v>147</v>
      </c>
      <c r="B102" s="10">
        <v>5622</v>
      </c>
    </row>
    <row r="103" spans="1:2" x14ac:dyDescent="0.25">
      <c r="A103" t="s">
        <v>148</v>
      </c>
      <c r="B103" s="10">
        <v>7595</v>
      </c>
    </row>
    <row r="104" spans="1:2" x14ac:dyDescent="0.25">
      <c r="A104" t="s">
        <v>147</v>
      </c>
      <c r="B104" s="10">
        <v>2989</v>
      </c>
    </row>
    <row r="105" spans="1:2" x14ac:dyDescent="0.25">
      <c r="A105" t="s">
        <v>147</v>
      </c>
      <c r="B105" s="10">
        <v>490</v>
      </c>
    </row>
    <row r="106" spans="1:2" x14ac:dyDescent="0.25">
      <c r="A106" t="s">
        <v>147</v>
      </c>
      <c r="B106" s="10">
        <v>1970</v>
      </c>
    </row>
    <row r="107" spans="1:2" x14ac:dyDescent="0.25">
      <c r="A107" t="s">
        <v>148</v>
      </c>
      <c r="B107" s="10">
        <v>1780</v>
      </c>
    </row>
    <row r="108" spans="1:2" x14ac:dyDescent="0.25">
      <c r="A108" t="s">
        <v>146</v>
      </c>
      <c r="B108" s="10">
        <v>9024</v>
      </c>
    </row>
    <row r="109" spans="1:2" x14ac:dyDescent="0.25">
      <c r="A109" t="s">
        <v>147</v>
      </c>
      <c r="B109" s="10">
        <v>8784</v>
      </c>
    </row>
    <row r="110" spans="1:2" x14ac:dyDescent="0.25">
      <c r="A110" t="s">
        <v>149</v>
      </c>
      <c r="B110" s="10">
        <v>128</v>
      </c>
    </row>
    <row r="111" spans="1:2" x14ac:dyDescent="0.25">
      <c r="A111" t="s">
        <v>147</v>
      </c>
      <c r="B111" s="10">
        <v>12110</v>
      </c>
    </row>
    <row r="112" spans="1:2" x14ac:dyDescent="0.25">
      <c r="A112" t="s">
        <v>148</v>
      </c>
      <c r="B112" s="10">
        <v>4000</v>
      </c>
    </row>
    <row r="113" spans="1:2" x14ac:dyDescent="0.25">
      <c r="A113" t="s">
        <v>148</v>
      </c>
      <c r="B113" s="10">
        <v>2820</v>
      </c>
    </row>
    <row r="114" spans="1:2" x14ac:dyDescent="0.25">
      <c r="A114" t="s">
        <v>147</v>
      </c>
      <c r="B114" s="10">
        <v>10712</v>
      </c>
    </row>
    <row r="115" spans="1:2" x14ac:dyDescent="0.25">
      <c r="A115" t="s">
        <v>148</v>
      </c>
      <c r="B115" s="10">
        <v>6572</v>
      </c>
    </row>
    <row r="116" spans="1:2" x14ac:dyDescent="0.25">
      <c r="A116" t="s">
        <v>149</v>
      </c>
      <c r="B116" s="10">
        <v>2102</v>
      </c>
    </row>
    <row r="117" spans="1:2" x14ac:dyDescent="0.25">
      <c r="A117" t="s">
        <v>146</v>
      </c>
      <c r="B117" s="10">
        <v>731</v>
      </c>
    </row>
    <row r="118" spans="1:2" x14ac:dyDescent="0.25">
      <c r="A118" t="s">
        <v>148</v>
      </c>
      <c r="B118" s="10">
        <v>645</v>
      </c>
    </row>
    <row r="119" spans="1:2" x14ac:dyDescent="0.25">
      <c r="A119" t="s">
        <v>148</v>
      </c>
      <c r="B119" s="10">
        <v>2590</v>
      </c>
    </row>
    <row r="120" spans="1:2" x14ac:dyDescent="0.25">
      <c r="A120" t="s">
        <v>148</v>
      </c>
      <c r="B120" s="10">
        <v>742</v>
      </c>
    </row>
    <row r="121" spans="1:2" x14ac:dyDescent="0.25">
      <c r="A121" t="s">
        <v>148</v>
      </c>
      <c r="B121" s="10">
        <v>11164</v>
      </c>
    </row>
    <row r="122" spans="1:2" x14ac:dyDescent="0.25">
      <c r="A122" t="s">
        <v>148</v>
      </c>
      <c r="B122" s="10">
        <v>2364</v>
      </c>
    </row>
    <row r="123" spans="1:2" x14ac:dyDescent="0.25">
      <c r="A123" t="s">
        <v>148</v>
      </c>
      <c r="B123" s="10">
        <v>14115</v>
      </c>
    </row>
    <row r="124" spans="1:2" x14ac:dyDescent="0.25">
      <c r="A124" t="s">
        <v>149</v>
      </c>
      <c r="B124" s="10">
        <v>11248</v>
      </c>
    </row>
    <row r="125" spans="1:2" x14ac:dyDescent="0.25">
      <c r="A125" t="s">
        <v>147</v>
      </c>
      <c r="B125" s="10">
        <v>2872</v>
      </c>
    </row>
    <row r="126" spans="1:2" x14ac:dyDescent="0.25">
      <c r="A126" t="s">
        <v>148</v>
      </c>
      <c r="B126" s="10">
        <v>2863</v>
      </c>
    </row>
    <row r="127" spans="1:2" x14ac:dyDescent="0.25">
      <c r="A127" t="s">
        <v>148</v>
      </c>
      <c r="B127" s="10">
        <v>1245</v>
      </c>
    </row>
    <row r="128" spans="1:2" x14ac:dyDescent="0.25">
      <c r="A128" t="s">
        <v>147</v>
      </c>
      <c r="B128" s="10">
        <v>9852</v>
      </c>
    </row>
    <row r="129" spans="1:2" x14ac:dyDescent="0.25">
      <c r="A129" t="s">
        <v>147</v>
      </c>
      <c r="B129" s="10">
        <v>5092</v>
      </c>
    </row>
    <row r="130" spans="1:2" x14ac:dyDescent="0.25">
      <c r="A130" t="s">
        <v>149</v>
      </c>
      <c r="B130" s="10">
        <v>2922</v>
      </c>
    </row>
    <row r="131" spans="1:2" x14ac:dyDescent="0.25">
      <c r="A131" t="s">
        <v>149</v>
      </c>
      <c r="B131" s="10">
        <v>8176</v>
      </c>
    </row>
    <row r="132" spans="1:2" x14ac:dyDescent="0.25">
      <c r="A132" t="s">
        <v>146</v>
      </c>
      <c r="B132" s="10">
        <v>4372</v>
      </c>
    </row>
    <row r="133" spans="1:2" x14ac:dyDescent="0.25">
      <c r="A133" t="s">
        <v>149</v>
      </c>
      <c r="B133" s="10">
        <v>3213</v>
      </c>
    </row>
    <row r="134" spans="1:2" x14ac:dyDescent="0.25">
      <c r="A134" t="s">
        <v>146</v>
      </c>
      <c r="B134" s="10">
        <v>4876</v>
      </c>
    </row>
    <row r="135" spans="1:2" x14ac:dyDescent="0.25">
      <c r="A135" t="s">
        <v>146</v>
      </c>
      <c r="B135" s="10">
        <v>2530</v>
      </c>
    </row>
    <row r="136" spans="1:2" x14ac:dyDescent="0.25">
      <c r="A136" t="s">
        <v>148</v>
      </c>
      <c r="B136" s="10">
        <v>13595</v>
      </c>
    </row>
    <row r="137" spans="1:2" x14ac:dyDescent="0.25">
      <c r="A137" t="s">
        <v>147</v>
      </c>
      <c r="B137" s="10">
        <v>1672</v>
      </c>
    </row>
    <row r="138" spans="1:2" x14ac:dyDescent="0.25">
      <c r="A138" t="s">
        <v>148</v>
      </c>
      <c r="B138" s="10">
        <v>5250</v>
      </c>
    </row>
    <row r="139" spans="1:2" x14ac:dyDescent="0.25">
      <c r="A139" t="s">
        <v>147</v>
      </c>
      <c r="B139" s="10">
        <v>1276</v>
      </c>
    </row>
    <row r="140" spans="1:2" x14ac:dyDescent="0.25">
      <c r="A140" t="s">
        <v>148</v>
      </c>
      <c r="B140" s="10">
        <v>4848</v>
      </c>
    </row>
    <row r="141" spans="1:2" x14ac:dyDescent="0.25">
      <c r="A141" t="s">
        <v>149</v>
      </c>
      <c r="B141" s="10">
        <v>7570</v>
      </c>
    </row>
    <row r="142" spans="1:2" x14ac:dyDescent="0.25">
      <c r="A142" t="s">
        <v>148</v>
      </c>
      <c r="B142" s="10">
        <v>7590</v>
      </c>
    </row>
    <row r="143" spans="1:2" x14ac:dyDescent="0.25">
      <c r="A143" t="s">
        <v>147</v>
      </c>
      <c r="B143" s="10">
        <v>444</v>
      </c>
    </row>
    <row r="144" spans="1:2" x14ac:dyDescent="0.25">
      <c r="A144" t="s">
        <v>148</v>
      </c>
      <c r="B144" s="10">
        <v>10530</v>
      </c>
    </row>
    <row r="145" spans="1:2" x14ac:dyDescent="0.25">
      <c r="A145" t="s">
        <v>149</v>
      </c>
      <c r="B145" s="10">
        <v>5469</v>
      </c>
    </row>
    <row r="146" spans="1:2" x14ac:dyDescent="0.25">
      <c r="A146" t="s">
        <v>146</v>
      </c>
      <c r="B146" s="10">
        <v>6039</v>
      </c>
    </row>
    <row r="147" spans="1:2" x14ac:dyDescent="0.25">
      <c r="A147" t="s">
        <v>149</v>
      </c>
      <c r="B147" s="10">
        <v>1379</v>
      </c>
    </row>
    <row r="148" spans="1:2" x14ac:dyDescent="0.25">
      <c r="A148" t="s">
        <v>147</v>
      </c>
      <c r="B148" s="10">
        <v>7872</v>
      </c>
    </row>
    <row r="149" spans="1:2" x14ac:dyDescent="0.25">
      <c r="A149" t="s">
        <v>148</v>
      </c>
      <c r="B149" s="10">
        <v>5274</v>
      </c>
    </row>
    <row r="150" spans="1:2" x14ac:dyDescent="0.25">
      <c r="A150" t="s">
        <v>147</v>
      </c>
      <c r="B150" s="10">
        <v>450</v>
      </c>
    </row>
    <row r="151" spans="1:2" x14ac:dyDescent="0.25">
      <c r="A151" t="s">
        <v>146</v>
      </c>
      <c r="B151" s="10">
        <v>1231</v>
      </c>
    </row>
    <row r="152" spans="1:2" x14ac:dyDescent="0.25">
      <c r="A152" t="s">
        <v>149</v>
      </c>
      <c r="B152" s="10">
        <v>5850</v>
      </c>
    </row>
    <row r="153" spans="1:2" x14ac:dyDescent="0.25">
      <c r="A153" t="s">
        <v>148</v>
      </c>
      <c r="B153" s="10">
        <v>4208</v>
      </c>
    </row>
    <row r="154" spans="1:2" x14ac:dyDescent="0.25">
      <c r="A154" t="s">
        <v>146</v>
      </c>
      <c r="B154" s="10">
        <v>2472</v>
      </c>
    </row>
    <row r="155" spans="1:2" x14ac:dyDescent="0.25">
      <c r="A155" t="s">
        <v>149</v>
      </c>
      <c r="B155" s="10">
        <v>8976</v>
      </c>
    </row>
    <row r="156" spans="1:2" x14ac:dyDescent="0.25">
      <c r="A156" t="s">
        <v>146</v>
      </c>
      <c r="B156" s="10">
        <v>11676</v>
      </c>
    </row>
    <row r="157" spans="1:2" x14ac:dyDescent="0.25">
      <c r="A157" t="s">
        <v>147</v>
      </c>
      <c r="B157" s="10">
        <v>4648</v>
      </c>
    </row>
  </sheetData>
  <mergeCells count="4">
    <mergeCell ref="A2:F2"/>
    <mergeCell ref="D7:E7"/>
    <mergeCell ref="H7:J7"/>
    <mergeCell ref="M7:O7"/>
  </mergeCells>
  <conditionalFormatting sqref="H9:H12">
    <cfRule type="colorScale" priority="5">
      <colorScale>
        <cfvo type="min"/>
        <cfvo type="percentile" val="50"/>
        <cfvo type="max"/>
        <color rgb="FFF8696B"/>
        <color rgb="FFFFEB84"/>
        <color rgb="FF63BE7B"/>
      </colorScale>
    </cfRule>
  </conditionalFormatting>
  <conditionalFormatting sqref="I9:I12">
    <cfRule type="dataBar" priority="2">
      <dataBar>
        <cfvo type="min"/>
        <cfvo type="max"/>
        <color rgb="FF63C384"/>
      </dataBar>
      <extLst>
        <ext xmlns:x14="http://schemas.microsoft.com/office/spreadsheetml/2009/9/main" uri="{B025F937-C7B1-47D3-B67F-A62EFF666E3E}">
          <x14:id>{55168393-643F-46AE-97AE-7628E20CF5E7}</x14:id>
        </ext>
      </extLst>
    </cfRule>
  </conditionalFormatting>
  <conditionalFormatting sqref="N9:N12">
    <cfRule type="dataBar" priority="1">
      <dataBar>
        <cfvo type="min"/>
        <cfvo type="max"/>
        <color rgb="FF63C384"/>
      </dataBar>
      <extLst>
        <ext xmlns:x14="http://schemas.microsoft.com/office/spreadsheetml/2009/9/main" uri="{B025F937-C7B1-47D3-B67F-A62EFF666E3E}">
          <x14:id>{C6731786-D603-45BD-99F6-3B94DE888565}</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55168393-643F-46AE-97AE-7628E20CF5E7}">
            <x14:dataBar minLength="0" maxLength="100" border="1" negativeBarBorderColorSameAsPositive="0">
              <x14:cfvo type="autoMin"/>
              <x14:cfvo type="autoMax"/>
              <x14:borderColor rgb="FF63C384"/>
              <x14:negativeFillColor rgb="FFFF0000"/>
              <x14:negativeBorderColor rgb="FFFF0000"/>
              <x14:axisColor rgb="FF000000"/>
            </x14:dataBar>
          </x14:cfRule>
          <xm:sqref>I9:I12</xm:sqref>
        </x14:conditionalFormatting>
        <x14:conditionalFormatting xmlns:xm="http://schemas.microsoft.com/office/excel/2006/main">
          <x14:cfRule type="dataBar" id="{C6731786-D603-45BD-99F6-3B94DE888565}">
            <x14:dataBar minLength="0" maxLength="100" border="1" negativeBarBorderColorSameAsPositive="0">
              <x14:cfvo type="autoMin"/>
              <x14:cfvo type="autoMax"/>
              <x14:borderColor rgb="FF63C384"/>
              <x14:negativeFillColor rgb="FFFF0000"/>
              <x14:negativeBorderColor rgb="FFFF0000"/>
              <x14:axisColor rgb="FF000000"/>
            </x14:dataBar>
          </x14:cfRule>
          <xm:sqref>N9:N12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B61A1-EF41-4CF3-89ED-8BF7A7CC3535}">
  <sheetPr codeName="Sheet4"/>
  <dimension ref="A2:O157"/>
  <sheetViews>
    <sheetView showGridLines="0" zoomScaleNormal="100" workbookViewId="0"/>
  </sheetViews>
  <sheetFormatPr defaultRowHeight="15" x14ac:dyDescent="0.25"/>
  <cols>
    <col min="1" max="1" width="13.140625" bestFit="1" customWidth="1"/>
    <col min="2" max="2" width="23.85546875" bestFit="1" customWidth="1"/>
    <col min="3" max="3" width="19.28515625" bestFit="1" customWidth="1"/>
    <col min="4" max="4" width="13.140625" bestFit="1" customWidth="1"/>
    <col min="5" max="6" width="23.85546875" bestFit="1" customWidth="1"/>
    <col min="9" max="9" width="12.85546875" bestFit="1" customWidth="1"/>
    <col min="14" max="14" width="12.85546875" bestFit="1" customWidth="1"/>
  </cols>
  <sheetData>
    <row r="2" spans="1:15" x14ac:dyDescent="0.25">
      <c r="A2" s="27" t="s">
        <v>167</v>
      </c>
      <c r="B2" s="27"/>
      <c r="C2" s="27"/>
      <c r="D2" s="27"/>
      <c r="E2" s="27"/>
      <c r="F2" s="27"/>
    </row>
    <row r="6" spans="1:15" x14ac:dyDescent="0.25">
      <c r="A6" t="s">
        <v>1</v>
      </c>
      <c r="B6" t="s">
        <v>6</v>
      </c>
    </row>
    <row r="7" spans="1:15" x14ac:dyDescent="0.25">
      <c r="A7" s="7" t="s">
        <v>137</v>
      </c>
      <c r="B7" s="14">
        <v>5576</v>
      </c>
      <c r="D7" s="28" t="s">
        <v>170</v>
      </c>
      <c r="E7" s="28"/>
      <c r="H7" s="28" t="s">
        <v>168</v>
      </c>
      <c r="I7" s="28"/>
      <c r="J7" s="28"/>
      <c r="M7" s="28" t="s">
        <v>169</v>
      </c>
      <c r="N7" s="28"/>
      <c r="O7" s="28"/>
    </row>
    <row r="8" spans="1:15" x14ac:dyDescent="0.25">
      <c r="A8" s="8" t="s">
        <v>138</v>
      </c>
      <c r="B8" s="15">
        <v>7032</v>
      </c>
    </row>
    <row r="9" spans="1:15" x14ac:dyDescent="0.25">
      <c r="A9" s="7" t="s">
        <v>139</v>
      </c>
      <c r="B9" s="14">
        <v>4200</v>
      </c>
      <c r="D9" s="2" t="s">
        <v>150</v>
      </c>
      <c r="E9" t="s">
        <v>152</v>
      </c>
      <c r="H9" s="6" t="str" cm="1">
        <f t="array" ref="H9:H13">_xlfn._xlws.SORT(_xlfn.UNIQUE(Table2[Produs]))</f>
        <v>Căști</v>
      </c>
      <c r="I9" s="12">
        <f>SUMIFS(Table2[Total vânzare (lei)], Table2[Produs],H9)</f>
        <v>112986</v>
      </c>
      <c r="M9" s="6" t="str" cm="1">
        <f t="array" ref="M9:M13">_xlfn._xlws.SORT(_xlfn.UNIQUE(Table2[Produs]))</f>
        <v>Căști</v>
      </c>
      <c r="N9" s="12" cm="1">
        <f t="array" ref="N9">SUMPRODUCT((Table2[Produs]=M9)*Table2[Total vânzare (lei)])</f>
        <v>112986</v>
      </c>
    </row>
    <row r="10" spans="1:15" x14ac:dyDescent="0.25">
      <c r="A10" s="8" t="s">
        <v>138</v>
      </c>
      <c r="B10" s="15">
        <v>4065</v>
      </c>
      <c r="D10" s="3" t="s">
        <v>141</v>
      </c>
      <c r="E10" s="10">
        <v>112986</v>
      </c>
      <c r="H10" s="6" t="str">
        <v>Laptop</v>
      </c>
      <c r="I10" s="12">
        <f>SUMIFS(Table2[Total vânzare (lei)], Table2[Produs],H10)</f>
        <v>176354</v>
      </c>
      <c r="M10" s="6" t="str">
        <v>Laptop</v>
      </c>
      <c r="N10" s="12" cm="1">
        <f t="array" ref="N10">SUMPRODUCT((Table2[Produs]=M10)*Table2[Total vânzare (lei)])</f>
        <v>176354</v>
      </c>
    </row>
    <row r="11" spans="1:15" x14ac:dyDescent="0.25">
      <c r="A11" s="7" t="s">
        <v>140</v>
      </c>
      <c r="B11" s="14">
        <v>4860</v>
      </c>
      <c r="D11" s="3" t="s">
        <v>138</v>
      </c>
      <c r="E11" s="10">
        <v>176354</v>
      </c>
      <c r="H11" s="6" t="str">
        <v>Monitor</v>
      </c>
      <c r="I11" s="12">
        <f>SUMIFS(Table2[Total vânzare (lei)], Table2[Produs],H11)</f>
        <v>153299</v>
      </c>
      <c r="M11" s="6" t="str">
        <v>Monitor</v>
      </c>
      <c r="N11" s="12" cm="1">
        <f t="array" ref="N11">SUMPRODUCT((Table2[Produs]=M11)*Table2[Total vânzare (lei)])</f>
        <v>153299</v>
      </c>
    </row>
    <row r="12" spans="1:15" x14ac:dyDescent="0.25">
      <c r="A12" s="8" t="s">
        <v>138</v>
      </c>
      <c r="B12" s="15">
        <v>10852</v>
      </c>
      <c r="D12" s="3" t="s">
        <v>137</v>
      </c>
      <c r="E12" s="10">
        <v>153299</v>
      </c>
      <c r="H12" s="6" t="str">
        <v>Tabletă</v>
      </c>
      <c r="I12" s="12">
        <f>SUMIFS(Table2[Total vânzare (lei)], Table2[Produs],H12)</f>
        <v>139151</v>
      </c>
      <c r="M12" s="6" t="str">
        <v>Tabletă</v>
      </c>
      <c r="N12" s="12" cm="1">
        <f t="array" ref="N12">SUMPRODUCT((Table2[Produs]=M12)*Table2[Total vânzare (lei)])</f>
        <v>139151</v>
      </c>
    </row>
    <row r="13" spans="1:15" x14ac:dyDescent="0.25">
      <c r="A13" s="7" t="s">
        <v>140</v>
      </c>
      <c r="B13" s="14">
        <v>3306</v>
      </c>
      <c r="D13" s="3" t="s">
        <v>140</v>
      </c>
      <c r="E13" s="10">
        <v>139151</v>
      </c>
      <c r="H13" s="6" t="str">
        <v>Telefon</v>
      </c>
      <c r="I13" s="12">
        <f>SUMIFS(Table2[Total vânzare (lei)], Table2[Produs],H13)</f>
        <v>205328</v>
      </c>
      <c r="M13" s="6" t="str">
        <v>Telefon</v>
      </c>
      <c r="N13" s="12" cm="1">
        <f t="array" ref="N13">SUMPRODUCT((Table2[Produs]=M13)*Table2[Total vânzare (lei)])</f>
        <v>205328</v>
      </c>
    </row>
    <row r="14" spans="1:15" x14ac:dyDescent="0.25">
      <c r="A14" s="8" t="s">
        <v>138</v>
      </c>
      <c r="B14" s="15">
        <v>7035</v>
      </c>
      <c r="D14" s="3" t="s">
        <v>139</v>
      </c>
      <c r="E14" s="10">
        <v>205328</v>
      </c>
    </row>
    <row r="15" spans="1:15" x14ac:dyDescent="0.25">
      <c r="A15" s="7" t="s">
        <v>141</v>
      </c>
      <c r="B15" s="14">
        <v>865</v>
      </c>
      <c r="D15" s="3" t="s">
        <v>151</v>
      </c>
      <c r="E15" s="10">
        <v>787118</v>
      </c>
    </row>
    <row r="16" spans="1:15" x14ac:dyDescent="0.25">
      <c r="A16" s="8" t="s">
        <v>139</v>
      </c>
      <c r="B16" s="15">
        <v>320</v>
      </c>
    </row>
    <row r="17" spans="1:2" x14ac:dyDescent="0.25">
      <c r="A17" s="7" t="s">
        <v>139</v>
      </c>
      <c r="B17" s="14">
        <v>7780</v>
      </c>
    </row>
    <row r="18" spans="1:2" x14ac:dyDescent="0.25">
      <c r="A18" s="8" t="s">
        <v>140</v>
      </c>
      <c r="B18" s="15">
        <v>1045</v>
      </c>
    </row>
    <row r="19" spans="1:2" x14ac:dyDescent="0.25">
      <c r="A19" s="7" t="s">
        <v>139</v>
      </c>
      <c r="B19" s="14">
        <v>2978</v>
      </c>
    </row>
    <row r="20" spans="1:2" x14ac:dyDescent="0.25">
      <c r="A20" s="8" t="s">
        <v>137</v>
      </c>
      <c r="B20" s="15">
        <v>688</v>
      </c>
    </row>
    <row r="21" spans="1:2" x14ac:dyDescent="0.25">
      <c r="A21" s="7" t="s">
        <v>139</v>
      </c>
      <c r="B21" s="14">
        <v>3525</v>
      </c>
    </row>
    <row r="22" spans="1:2" x14ac:dyDescent="0.25">
      <c r="A22" s="8" t="s">
        <v>139</v>
      </c>
      <c r="B22" s="15">
        <v>3320</v>
      </c>
    </row>
    <row r="23" spans="1:2" x14ac:dyDescent="0.25">
      <c r="A23" s="7" t="s">
        <v>138</v>
      </c>
      <c r="B23" s="14">
        <v>5908</v>
      </c>
    </row>
    <row r="24" spans="1:2" x14ac:dyDescent="0.25">
      <c r="A24" s="8" t="s">
        <v>140</v>
      </c>
      <c r="B24" s="15">
        <v>2514</v>
      </c>
    </row>
    <row r="25" spans="1:2" x14ac:dyDescent="0.25">
      <c r="A25" s="7" t="s">
        <v>140</v>
      </c>
      <c r="B25" s="14">
        <v>4864</v>
      </c>
    </row>
    <row r="26" spans="1:2" x14ac:dyDescent="0.25">
      <c r="A26" s="8" t="s">
        <v>138</v>
      </c>
      <c r="B26" s="15">
        <v>7587</v>
      </c>
    </row>
    <row r="27" spans="1:2" x14ac:dyDescent="0.25">
      <c r="A27" s="7" t="s">
        <v>141</v>
      </c>
      <c r="B27" s="14">
        <v>2471</v>
      </c>
    </row>
    <row r="28" spans="1:2" x14ac:dyDescent="0.25">
      <c r="A28" s="8" t="s">
        <v>139</v>
      </c>
      <c r="B28" s="15">
        <v>1887</v>
      </c>
    </row>
    <row r="29" spans="1:2" x14ac:dyDescent="0.25">
      <c r="A29" s="7" t="s">
        <v>141</v>
      </c>
      <c r="B29" s="14">
        <v>10140</v>
      </c>
    </row>
    <row r="30" spans="1:2" x14ac:dyDescent="0.25">
      <c r="A30" s="8" t="s">
        <v>137</v>
      </c>
      <c r="B30" s="15">
        <v>13420</v>
      </c>
    </row>
    <row r="31" spans="1:2" x14ac:dyDescent="0.25">
      <c r="A31" s="7" t="s">
        <v>141</v>
      </c>
      <c r="B31" s="14">
        <v>1332</v>
      </c>
    </row>
    <row r="32" spans="1:2" x14ac:dyDescent="0.25">
      <c r="A32" s="8" t="s">
        <v>140</v>
      </c>
      <c r="B32" s="15">
        <v>5354</v>
      </c>
    </row>
    <row r="33" spans="1:2" x14ac:dyDescent="0.25">
      <c r="A33" s="7" t="s">
        <v>138</v>
      </c>
      <c r="B33" s="14">
        <v>8632</v>
      </c>
    </row>
    <row r="34" spans="1:2" x14ac:dyDescent="0.25">
      <c r="A34" s="8" t="s">
        <v>141</v>
      </c>
      <c r="B34" s="15">
        <v>7465</v>
      </c>
    </row>
    <row r="35" spans="1:2" x14ac:dyDescent="0.25">
      <c r="A35" s="7" t="s">
        <v>138</v>
      </c>
      <c r="B35" s="14">
        <v>2538</v>
      </c>
    </row>
    <row r="36" spans="1:2" x14ac:dyDescent="0.25">
      <c r="A36" s="8" t="s">
        <v>141</v>
      </c>
      <c r="B36" s="15">
        <v>2782</v>
      </c>
    </row>
    <row r="37" spans="1:2" x14ac:dyDescent="0.25">
      <c r="A37" s="7" t="s">
        <v>140</v>
      </c>
      <c r="B37" s="14">
        <v>2892</v>
      </c>
    </row>
    <row r="38" spans="1:2" x14ac:dyDescent="0.25">
      <c r="A38" s="8" t="s">
        <v>140</v>
      </c>
      <c r="B38" s="15">
        <v>4644</v>
      </c>
    </row>
    <row r="39" spans="1:2" x14ac:dyDescent="0.25">
      <c r="A39" s="7" t="s">
        <v>139</v>
      </c>
      <c r="B39" s="14">
        <v>1267</v>
      </c>
    </row>
    <row r="40" spans="1:2" x14ac:dyDescent="0.25">
      <c r="A40" s="8" t="s">
        <v>141</v>
      </c>
      <c r="B40" s="15">
        <v>1914</v>
      </c>
    </row>
    <row r="41" spans="1:2" x14ac:dyDescent="0.25">
      <c r="A41" s="7" t="s">
        <v>140</v>
      </c>
      <c r="B41" s="14">
        <v>1170</v>
      </c>
    </row>
    <row r="42" spans="1:2" x14ac:dyDescent="0.25">
      <c r="A42" s="8" t="s">
        <v>138</v>
      </c>
      <c r="B42" s="15">
        <v>4785</v>
      </c>
    </row>
    <row r="43" spans="1:2" x14ac:dyDescent="0.25">
      <c r="A43" s="7" t="s">
        <v>140</v>
      </c>
      <c r="B43" s="14">
        <v>4689</v>
      </c>
    </row>
    <row r="44" spans="1:2" x14ac:dyDescent="0.25">
      <c r="A44" s="8" t="s">
        <v>137</v>
      </c>
      <c r="B44" s="15">
        <v>12250</v>
      </c>
    </row>
    <row r="45" spans="1:2" x14ac:dyDescent="0.25">
      <c r="A45" s="7" t="s">
        <v>139</v>
      </c>
      <c r="B45" s="14">
        <v>11915</v>
      </c>
    </row>
    <row r="46" spans="1:2" x14ac:dyDescent="0.25">
      <c r="A46" s="8" t="s">
        <v>140</v>
      </c>
      <c r="B46" s="15">
        <v>1092</v>
      </c>
    </row>
    <row r="47" spans="1:2" x14ac:dyDescent="0.25">
      <c r="A47" s="7" t="s">
        <v>137</v>
      </c>
      <c r="B47" s="14">
        <v>8085</v>
      </c>
    </row>
    <row r="48" spans="1:2" x14ac:dyDescent="0.25">
      <c r="A48" s="8" t="s">
        <v>137</v>
      </c>
      <c r="B48" s="15">
        <v>1320</v>
      </c>
    </row>
    <row r="49" spans="1:2" x14ac:dyDescent="0.25">
      <c r="A49" s="7" t="s">
        <v>137</v>
      </c>
      <c r="B49" s="14">
        <v>5810</v>
      </c>
    </row>
    <row r="50" spans="1:2" x14ac:dyDescent="0.25">
      <c r="A50" s="8" t="s">
        <v>137</v>
      </c>
      <c r="B50" s="15">
        <v>14720</v>
      </c>
    </row>
    <row r="51" spans="1:2" x14ac:dyDescent="0.25">
      <c r="A51" s="7" t="s">
        <v>139</v>
      </c>
      <c r="B51" s="14">
        <v>12175</v>
      </c>
    </row>
    <row r="52" spans="1:2" x14ac:dyDescent="0.25">
      <c r="A52" s="8" t="s">
        <v>140</v>
      </c>
      <c r="B52" s="15">
        <v>10968</v>
      </c>
    </row>
    <row r="53" spans="1:2" x14ac:dyDescent="0.25">
      <c r="A53" s="7" t="s">
        <v>137</v>
      </c>
      <c r="B53" s="14">
        <v>5220</v>
      </c>
    </row>
    <row r="54" spans="1:2" x14ac:dyDescent="0.25">
      <c r="A54" s="8" t="s">
        <v>140</v>
      </c>
      <c r="B54" s="15">
        <v>5715</v>
      </c>
    </row>
    <row r="55" spans="1:2" x14ac:dyDescent="0.25">
      <c r="A55" s="7" t="s">
        <v>137</v>
      </c>
      <c r="B55" s="14">
        <v>5510</v>
      </c>
    </row>
    <row r="56" spans="1:2" x14ac:dyDescent="0.25">
      <c r="A56" s="8" t="s">
        <v>137</v>
      </c>
      <c r="B56" s="15">
        <v>412</v>
      </c>
    </row>
    <row r="57" spans="1:2" x14ac:dyDescent="0.25">
      <c r="A57" s="7" t="s">
        <v>137</v>
      </c>
      <c r="B57" s="14">
        <v>5337</v>
      </c>
    </row>
    <row r="58" spans="1:2" x14ac:dyDescent="0.25">
      <c r="A58" s="8" t="s">
        <v>140</v>
      </c>
      <c r="B58" s="15">
        <v>2136</v>
      </c>
    </row>
    <row r="59" spans="1:2" x14ac:dyDescent="0.25">
      <c r="A59" s="7" t="s">
        <v>138</v>
      </c>
      <c r="B59" s="14">
        <v>1605</v>
      </c>
    </row>
    <row r="60" spans="1:2" x14ac:dyDescent="0.25">
      <c r="A60" s="8" t="s">
        <v>140</v>
      </c>
      <c r="B60" s="15">
        <v>3832</v>
      </c>
    </row>
    <row r="61" spans="1:2" x14ac:dyDescent="0.25">
      <c r="A61" s="7" t="s">
        <v>137</v>
      </c>
      <c r="B61" s="14">
        <v>8064</v>
      </c>
    </row>
    <row r="62" spans="1:2" x14ac:dyDescent="0.25">
      <c r="A62" s="8" t="s">
        <v>139</v>
      </c>
      <c r="B62" s="15">
        <v>3861</v>
      </c>
    </row>
    <row r="63" spans="1:2" x14ac:dyDescent="0.25">
      <c r="A63" s="7" t="s">
        <v>139</v>
      </c>
      <c r="B63" s="14">
        <v>3694</v>
      </c>
    </row>
    <row r="64" spans="1:2" x14ac:dyDescent="0.25">
      <c r="A64" s="8" t="s">
        <v>138</v>
      </c>
      <c r="B64" s="15">
        <v>2400</v>
      </c>
    </row>
    <row r="65" spans="1:2" x14ac:dyDescent="0.25">
      <c r="A65" s="7" t="s">
        <v>141</v>
      </c>
      <c r="B65" s="14">
        <v>1948</v>
      </c>
    </row>
    <row r="66" spans="1:2" x14ac:dyDescent="0.25">
      <c r="A66" s="8" t="s">
        <v>137</v>
      </c>
      <c r="B66" s="15">
        <v>8406</v>
      </c>
    </row>
    <row r="67" spans="1:2" x14ac:dyDescent="0.25">
      <c r="A67" s="7" t="s">
        <v>138</v>
      </c>
      <c r="B67" s="14">
        <v>7220</v>
      </c>
    </row>
    <row r="68" spans="1:2" x14ac:dyDescent="0.25">
      <c r="A68" s="8" t="s">
        <v>140</v>
      </c>
      <c r="B68" s="15">
        <v>4128</v>
      </c>
    </row>
    <row r="69" spans="1:2" x14ac:dyDescent="0.25">
      <c r="A69" s="7" t="s">
        <v>140</v>
      </c>
      <c r="B69" s="14">
        <v>4634</v>
      </c>
    </row>
    <row r="70" spans="1:2" x14ac:dyDescent="0.25">
      <c r="A70" s="8" t="s">
        <v>141</v>
      </c>
      <c r="B70" s="15">
        <v>2031</v>
      </c>
    </row>
    <row r="71" spans="1:2" x14ac:dyDescent="0.25">
      <c r="A71" s="7" t="s">
        <v>141</v>
      </c>
      <c r="B71" s="14">
        <v>9832</v>
      </c>
    </row>
    <row r="72" spans="1:2" x14ac:dyDescent="0.25">
      <c r="A72" s="8" t="s">
        <v>141</v>
      </c>
      <c r="B72" s="15">
        <v>416</v>
      </c>
    </row>
    <row r="73" spans="1:2" x14ac:dyDescent="0.25">
      <c r="A73" s="7" t="s">
        <v>141</v>
      </c>
      <c r="B73" s="14">
        <v>12085</v>
      </c>
    </row>
    <row r="74" spans="1:2" x14ac:dyDescent="0.25">
      <c r="A74" s="8" t="s">
        <v>140</v>
      </c>
      <c r="B74" s="15">
        <v>2129</v>
      </c>
    </row>
    <row r="75" spans="1:2" x14ac:dyDescent="0.25">
      <c r="A75" s="7" t="s">
        <v>139</v>
      </c>
      <c r="B75" s="14">
        <v>8067</v>
      </c>
    </row>
    <row r="76" spans="1:2" x14ac:dyDescent="0.25">
      <c r="A76" s="8" t="s">
        <v>139</v>
      </c>
      <c r="B76" s="15">
        <v>1245</v>
      </c>
    </row>
    <row r="77" spans="1:2" x14ac:dyDescent="0.25">
      <c r="A77" s="7" t="s">
        <v>138</v>
      </c>
      <c r="B77" s="14">
        <v>6200</v>
      </c>
    </row>
    <row r="78" spans="1:2" x14ac:dyDescent="0.25">
      <c r="A78" s="8" t="s">
        <v>139</v>
      </c>
      <c r="B78" s="15">
        <v>9376</v>
      </c>
    </row>
    <row r="79" spans="1:2" x14ac:dyDescent="0.25">
      <c r="A79" s="7" t="s">
        <v>141</v>
      </c>
      <c r="B79" s="14">
        <v>6030</v>
      </c>
    </row>
    <row r="80" spans="1:2" x14ac:dyDescent="0.25">
      <c r="A80" s="8" t="s">
        <v>141</v>
      </c>
      <c r="B80" s="15">
        <v>1506</v>
      </c>
    </row>
    <row r="81" spans="1:2" x14ac:dyDescent="0.25">
      <c r="A81" s="7" t="s">
        <v>137</v>
      </c>
      <c r="B81" s="14">
        <v>3560</v>
      </c>
    </row>
    <row r="82" spans="1:2" x14ac:dyDescent="0.25">
      <c r="A82" s="8" t="s">
        <v>140</v>
      </c>
      <c r="B82" s="15">
        <v>8922</v>
      </c>
    </row>
    <row r="83" spans="1:2" x14ac:dyDescent="0.25">
      <c r="A83" s="7" t="s">
        <v>141</v>
      </c>
      <c r="B83" s="14">
        <v>1194</v>
      </c>
    </row>
    <row r="84" spans="1:2" x14ac:dyDescent="0.25">
      <c r="A84" s="8" t="s">
        <v>140</v>
      </c>
      <c r="B84" s="15">
        <v>5725</v>
      </c>
    </row>
    <row r="85" spans="1:2" x14ac:dyDescent="0.25">
      <c r="A85" s="7" t="s">
        <v>138</v>
      </c>
      <c r="B85" s="14">
        <v>3832</v>
      </c>
    </row>
    <row r="86" spans="1:2" x14ac:dyDescent="0.25">
      <c r="A86" s="8" t="s">
        <v>140</v>
      </c>
      <c r="B86" s="15">
        <v>11976</v>
      </c>
    </row>
    <row r="87" spans="1:2" x14ac:dyDescent="0.25">
      <c r="A87" s="7" t="s">
        <v>138</v>
      </c>
      <c r="B87" s="14">
        <v>11240</v>
      </c>
    </row>
    <row r="88" spans="1:2" x14ac:dyDescent="0.25">
      <c r="A88" s="8" t="s">
        <v>137</v>
      </c>
      <c r="B88" s="15">
        <v>2393</v>
      </c>
    </row>
    <row r="89" spans="1:2" x14ac:dyDescent="0.25">
      <c r="A89" s="7" t="s">
        <v>137</v>
      </c>
      <c r="B89" s="14">
        <v>2659</v>
      </c>
    </row>
    <row r="90" spans="1:2" x14ac:dyDescent="0.25">
      <c r="A90" s="8" t="s">
        <v>137</v>
      </c>
      <c r="B90" s="15">
        <v>10272</v>
      </c>
    </row>
    <row r="91" spans="1:2" x14ac:dyDescent="0.25">
      <c r="A91" s="7" t="s">
        <v>138</v>
      </c>
      <c r="B91" s="14">
        <v>5834</v>
      </c>
    </row>
    <row r="92" spans="1:2" x14ac:dyDescent="0.25">
      <c r="A92" s="8" t="s">
        <v>139</v>
      </c>
      <c r="B92" s="15">
        <v>3680</v>
      </c>
    </row>
    <row r="93" spans="1:2" x14ac:dyDescent="0.25">
      <c r="A93" s="7" t="s">
        <v>138</v>
      </c>
      <c r="B93" s="14">
        <v>10336</v>
      </c>
    </row>
    <row r="94" spans="1:2" x14ac:dyDescent="0.25">
      <c r="A94" s="8" t="s">
        <v>139</v>
      </c>
      <c r="B94" s="15">
        <v>11916</v>
      </c>
    </row>
    <row r="95" spans="1:2" x14ac:dyDescent="0.25">
      <c r="A95" s="7" t="s">
        <v>140</v>
      </c>
      <c r="B95" s="14">
        <v>4296</v>
      </c>
    </row>
    <row r="96" spans="1:2" x14ac:dyDescent="0.25">
      <c r="A96" s="8" t="s">
        <v>140</v>
      </c>
      <c r="B96" s="15">
        <v>1222</v>
      </c>
    </row>
    <row r="97" spans="1:2" x14ac:dyDescent="0.25">
      <c r="A97" s="7" t="s">
        <v>141</v>
      </c>
      <c r="B97" s="14">
        <v>2873</v>
      </c>
    </row>
    <row r="98" spans="1:2" x14ac:dyDescent="0.25">
      <c r="A98" s="8" t="s">
        <v>137</v>
      </c>
      <c r="B98" s="15">
        <v>1827</v>
      </c>
    </row>
    <row r="99" spans="1:2" x14ac:dyDescent="0.25">
      <c r="A99" s="7" t="s">
        <v>141</v>
      </c>
      <c r="B99" s="14">
        <v>11952</v>
      </c>
    </row>
    <row r="100" spans="1:2" x14ac:dyDescent="0.25">
      <c r="A100" s="8" t="s">
        <v>137</v>
      </c>
      <c r="B100" s="15">
        <v>7704</v>
      </c>
    </row>
    <row r="101" spans="1:2" x14ac:dyDescent="0.25">
      <c r="A101" s="7" t="s">
        <v>140</v>
      </c>
      <c r="B101" s="14">
        <v>5622</v>
      </c>
    </row>
    <row r="102" spans="1:2" x14ac:dyDescent="0.25">
      <c r="A102" s="8" t="s">
        <v>141</v>
      </c>
      <c r="B102" s="15">
        <v>7595</v>
      </c>
    </row>
    <row r="103" spans="1:2" x14ac:dyDescent="0.25">
      <c r="A103" s="7" t="s">
        <v>138</v>
      </c>
      <c r="B103" s="14">
        <v>2989</v>
      </c>
    </row>
    <row r="104" spans="1:2" x14ac:dyDescent="0.25">
      <c r="A104" s="8" t="s">
        <v>138</v>
      </c>
      <c r="B104" s="15">
        <v>490</v>
      </c>
    </row>
    <row r="105" spans="1:2" x14ac:dyDescent="0.25">
      <c r="A105" s="7" t="s">
        <v>138</v>
      </c>
      <c r="B105" s="14">
        <v>1970</v>
      </c>
    </row>
    <row r="106" spans="1:2" x14ac:dyDescent="0.25">
      <c r="A106" s="8" t="s">
        <v>139</v>
      </c>
      <c r="B106" s="15">
        <v>1780</v>
      </c>
    </row>
    <row r="107" spans="1:2" x14ac:dyDescent="0.25">
      <c r="A107" s="7" t="s">
        <v>139</v>
      </c>
      <c r="B107" s="14">
        <v>9024</v>
      </c>
    </row>
    <row r="108" spans="1:2" x14ac:dyDescent="0.25">
      <c r="A108" s="8" t="s">
        <v>139</v>
      </c>
      <c r="B108" s="15">
        <v>8784</v>
      </c>
    </row>
    <row r="109" spans="1:2" x14ac:dyDescent="0.25">
      <c r="A109" s="7" t="s">
        <v>138</v>
      </c>
      <c r="B109" s="14">
        <v>128</v>
      </c>
    </row>
    <row r="110" spans="1:2" x14ac:dyDescent="0.25">
      <c r="A110" s="8" t="s">
        <v>140</v>
      </c>
      <c r="B110" s="15">
        <v>12110</v>
      </c>
    </row>
    <row r="111" spans="1:2" x14ac:dyDescent="0.25">
      <c r="A111" s="7" t="s">
        <v>138</v>
      </c>
      <c r="B111" s="14">
        <v>4000</v>
      </c>
    </row>
    <row r="112" spans="1:2" x14ac:dyDescent="0.25">
      <c r="A112" s="8" t="s">
        <v>138</v>
      </c>
      <c r="B112" s="15">
        <v>2820</v>
      </c>
    </row>
    <row r="113" spans="1:2" x14ac:dyDescent="0.25">
      <c r="A113" s="7" t="s">
        <v>139</v>
      </c>
      <c r="B113" s="14">
        <v>10712</v>
      </c>
    </row>
    <row r="114" spans="1:2" x14ac:dyDescent="0.25">
      <c r="A114" s="8" t="s">
        <v>139</v>
      </c>
      <c r="B114" s="15">
        <v>6572</v>
      </c>
    </row>
    <row r="115" spans="1:2" x14ac:dyDescent="0.25">
      <c r="A115" s="7" t="s">
        <v>139</v>
      </c>
      <c r="B115" s="14">
        <v>2102</v>
      </c>
    </row>
    <row r="116" spans="1:2" x14ac:dyDescent="0.25">
      <c r="A116" s="8" t="s">
        <v>137</v>
      </c>
      <c r="B116" s="15">
        <v>731</v>
      </c>
    </row>
    <row r="117" spans="1:2" x14ac:dyDescent="0.25">
      <c r="A117" s="7" t="s">
        <v>138</v>
      </c>
      <c r="B117" s="14">
        <v>645</v>
      </c>
    </row>
    <row r="118" spans="1:2" x14ac:dyDescent="0.25">
      <c r="A118" s="8" t="s">
        <v>140</v>
      </c>
      <c r="B118" s="15">
        <v>2590</v>
      </c>
    </row>
    <row r="119" spans="1:2" x14ac:dyDescent="0.25">
      <c r="A119" s="7" t="s">
        <v>137</v>
      </c>
      <c r="B119" s="14">
        <v>742</v>
      </c>
    </row>
    <row r="120" spans="1:2" x14ac:dyDescent="0.25">
      <c r="A120" s="8" t="s">
        <v>141</v>
      </c>
      <c r="B120" s="15">
        <v>11164</v>
      </c>
    </row>
    <row r="121" spans="1:2" x14ac:dyDescent="0.25">
      <c r="A121" s="7" t="s">
        <v>141</v>
      </c>
      <c r="B121" s="14">
        <v>2364</v>
      </c>
    </row>
    <row r="122" spans="1:2" x14ac:dyDescent="0.25">
      <c r="A122" s="8" t="s">
        <v>138</v>
      </c>
      <c r="B122" s="15">
        <v>14115</v>
      </c>
    </row>
    <row r="123" spans="1:2" x14ac:dyDescent="0.25">
      <c r="A123" s="7" t="s">
        <v>139</v>
      </c>
      <c r="B123" s="14">
        <v>11248</v>
      </c>
    </row>
    <row r="124" spans="1:2" x14ac:dyDescent="0.25">
      <c r="A124" s="8" t="s">
        <v>138</v>
      </c>
      <c r="B124" s="15">
        <v>2872</v>
      </c>
    </row>
    <row r="125" spans="1:2" x14ac:dyDescent="0.25">
      <c r="A125" s="7" t="s">
        <v>139</v>
      </c>
      <c r="B125" s="14">
        <v>2863</v>
      </c>
    </row>
    <row r="126" spans="1:2" x14ac:dyDescent="0.25">
      <c r="A126" s="8" t="s">
        <v>140</v>
      </c>
      <c r="B126" s="15">
        <v>1245</v>
      </c>
    </row>
    <row r="127" spans="1:2" x14ac:dyDescent="0.25">
      <c r="A127" s="7" t="s">
        <v>139</v>
      </c>
      <c r="B127" s="14">
        <v>9852</v>
      </c>
    </row>
    <row r="128" spans="1:2" x14ac:dyDescent="0.25">
      <c r="A128" s="8" t="s">
        <v>140</v>
      </c>
      <c r="B128" s="15">
        <v>5092</v>
      </c>
    </row>
    <row r="129" spans="1:2" x14ac:dyDescent="0.25">
      <c r="A129" s="7" t="s">
        <v>141</v>
      </c>
      <c r="B129" s="14">
        <v>2922</v>
      </c>
    </row>
    <row r="130" spans="1:2" x14ac:dyDescent="0.25">
      <c r="A130" s="8" t="s">
        <v>137</v>
      </c>
      <c r="B130" s="15">
        <v>8176</v>
      </c>
    </row>
    <row r="131" spans="1:2" x14ac:dyDescent="0.25">
      <c r="A131" s="7" t="s">
        <v>139</v>
      </c>
      <c r="B131" s="14">
        <v>4372</v>
      </c>
    </row>
    <row r="132" spans="1:2" x14ac:dyDescent="0.25">
      <c r="A132" s="8" t="s">
        <v>137</v>
      </c>
      <c r="B132" s="15">
        <v>3213</v>
      </c>
    </row>
    <row r="133" spans="1:2" x14ac:dyDescent="0.25">
      <c r="A133" s="7" t="s">
        <v>141</v>
      </c>
      <c r="B133" s="14">
        <v>4876</v>
      </c>
    </row>
    <row r="134" spans="1:2" x14ac:dyDescent="0.25">
      <c r="A134" s="8" t="s">
        <v>137</v>
      </c>
      <c r="B134" s="15">
        <v>2530</v>
      </c>
    </row>
    <row r="135" spans="1:2" x14ac:dyDescent="0.25">
      <c r="A135" s="7" t="s">
        <v>138</v>
      </c>
      <c r="B135" s="14">
        <v>13595</v>
      </c>
    </row>
    <row r="136" spans="1:2" x14ac:dyDescent="0.25">
      <c r="A136" s="8" t="s">
        <v>137</v>
      </c>
      <c r="B136" s="15">
        <v>1672</v>
      </c>
    </row>
    <row r="137" spans="1:2" x14ac:dyDescent="0.25">
      <c r="A137" s="7" t="s">
        <v>139</v>
      </c>
      <c r="B137" s="14">
        <v>5250</v>
      </c>
    </row>
    <row r="138" spans="1:2" x14ac:dyDescent="0.25">
      <c r="A138" s="8" t="s">
        <v>140</v>
      </c>
      <c r="B138" s="15">
        <v>1276</v>
      </c>
    </row>
    <row r="139" spans="1:2" x14ac:dyDescent="0.25">
      <c r="A139" s="7" t="s">
        <v>139</v>
      </c>
      <c r="B139" s="14">
        <v>4848</v>
      </c>
    </row>
    <row r="140" spans="1:2" x14ac:dyDescent="0.25">
      <c r="A140" s="8" t="s">
        <v>139</v>
      </c>
      <c r="B140" s="15">
        <v>7570</v>
      </c>
    </row>
    <row r="141" spans="1:2" x14ac:dyDescent="0.25">
      <c r="A141" s="7" t="s">
        <v>138</v>
      </c>
      <c r="B141" s="14">
        <v>7590</v>
      </c>
    </row>
    <row r="142" spans="1:2" x14ac:dyDescent="0.25">
      <c r="A142" s="8" t="s">
        <v>138</v>
      </c>
      <c r="B142" s="15">
        <v>444</v>
      </c>
    </row>
    <row r="143" spans="1:2" x14ac:dyDescent="0.25">
      <c r="A143" s="7" t="s">
        <v>137</v>
      </c>
      <c r="B143" s="14">
        <v>10530</v>
      </c>
    </row>
    <row r="144" spans="1:2" x14ac:dyDescent="0.25">
      <c r="A144" s="8" t="s">
        <v>138</v>
      </c>
      <c r="B144" s="15">
        <v>5469</v>
      </c>
    </row>
    <row r="145" spans="1:2" x14ac:dyDescent="0.25">
      <c r="A145" s="7" t="s">
        <v>139</v>
      </c>
      <c r="B145" s="14">
        <v>6039</v>
      </c>
    </row>
    <row r="146" spans="1:2" x14ac:dyDescent="0.25">
      <c r="A146" s="8" t="s">
        <v>141</v>
      </c>
      <c r="B146" s="15">
        <v>1379</v>
      </c>
    </row>
    <row r="147" spans="1:2" x14ac:dyDescent="0.25">
      <c r="A147" s="7" t="s">
        <v>140</v>
      </c>
      <c r="B147" s="14">
        <v>7872</v>
      </c>
    </row>
    <row r="148" spans="1:2" x14ac:dyDescent="0.25">
      <c r="A148" s="8" t="s">
        <v>139</v>
      </c>
      <c r="B148" s="15">
        <v>5274</v>
      </c>
    </row>
    <row r="149" spans="1:2" x14ac:dyDescent="0.25">
      <c r="A149" s="7" t="s">
        <v>138</v>
      </c>
      <c r="B149" s="14">
        <v>450</v>
      </c>
    </row>
    <row r="150" spans="1:2" x14ac:dyDescent="0.25">
      <c r="A150" s="8" t="s">
        <v>140</v>
      </c>
      <c r="B150" s="15">
        <v>1231</v>
      </c>
    </row>
    <row r="151" spans="1:2" x14ac:dyDescent="0.25">
      <c r="A151" s="7" t="s">
        <v>141</v>
      </c>
      <c r="B151" s="14">
        <v>5850</v>
      </c>
    </row>
    <row r="152" spans="1:2" x14ac:dyDescent="0.25">
      <c r="A152" s="8" t="s">
        <v>139</v>
      </c>
      <c r="B152" s="15">
        <v>4208</v>
      </c>
    </row>
    <row r="153" spans="1:2" x14ac:dyDescent="0.25">
      <c r="A153" s="7" t="s">
        <v>137</v>
      </c>
      <c r="B153" s="14">
        <v>2472</v>
      </c>
    </row>
    <row r="154" spans="1:2" x14ac:dyDescent="0.25">
      <c r="A154" s="8" t="s">
        <v>139</v>
      </c>
      <c r="B154" s="15">
        <v>8976</v>
      </c>
    </row>
    <row r="155" spans="1:2" x14ac:dyDescent="0.25">
      <c r="A155" s="7" t="s">
        <v>138</v>
      </c>
      <c r="B155" s="14">
        <v>11676</v>
      </c>
    </row>
    <row r="156" spans="1:2" x14ac:dyDescent="0.25">
      <c r="A156" s="16" t="s">
        <v>139</v>
      </c>
      <c r="B156" s="17">
        <v>4648</v>
      </c>
    </row>
    <row r="157" spans="1:2" x14ac:dyDescent="0.25">
      <c r="B157" s="10"/>
    </row>
  </sheetData>
  <mergeCells count="4">
    <mergeCell ref="A2:F2"/>
    <mergeCell ref="D7:E7"/>
    <mergeCell ref="H7:J7"/>
    <mergeCell ref="M7:O7"/>
  </mergeCells>
  <conditionalFormatting sqref="H9:H13">
    <cfRule type="colorScale" priority="4">
      <colorScale>
        <cfvo type="min"/>
        <cfvo type="percentile" val="50"/>
        <cfvo type="max"/>
        <color rgb="FFF8696B"/>
        <color rgb="FFFFEB84"/>
        <color rgb="FF63BE7B"/>
      </colorScale>
    </cfRule>
  </conditionalFormatting>
  <conditionalFormatting sqref="I9:I13">
    <cfRule type="dataBar" priority="3">
      <dataBar>
        <cfvo type="min"/>
        <cfvo type="max"/>
        <color rgb="FF63C384"/>
      </dataBar>
      <extLst>
        <ext xmlns:x14="http://schemas.microsoft.com/office/spreadsheetml/2009/9/main" uri="{B025F937-C7B1-47D3-B67F-A62EFF666E3E}">
          <x14:id>{29DF5364-AFBC-4B4F-9651-473034096FE9}</x14:id>
        </ext>
      </extLst>
    </cfRule>
  </conditionalFormatting>
  <conditionalFormatting sqref="M9:M13">
    <cfRule type="colorScale" priority="1">
      <colorScale>
        <cfvo type="min"/>
        <cfvo type="percentile" val="50"/>
        <cfvo type="max"/>
        <color rgb="FFF8696B"/>
        <color rgb="FFFFEB84"/>
        <color rgb="FF63BE7B"/>
      </colorScale>
    </cfRule>
  </conditionalFormatting>
  <conditionalFormatting sqref="N9:N13">
    <cfRule type="dataBar" priority="2">
      <dataBar>
        <cfvo type="min"/>
        <cfvo type="max"/>
        <color rgb="FF63C384"/>
      </dataBar>
      <extLst>
        <ext xmlns:x14="http://schemas.microsoft.com/office/spreadsheetml/2009/9/main" uri="{B025F937-C7B1-47D3-B67F-A62EFF666E3E}">
          <x14:id>{3B131425-70FF-4EDB-A9AE-8BCE9EEBFF9A}</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29DF5364-AFBC-4B4F-9651-473034096FE9}">
            <x14:dataBar minLength="0" maxLength="100" border="1" negativeBarBorderColorSameAsPositive="0">
              <x14:cfvo type="autoMin"/>
              <x14:cfvo type="autoMax"/>
              <x14:borderColor rgb="FF63C384"/>
              <x14:negativeFillColor rgb="FFFF0000"/>
              <x14:negativeBorderColor rgb="FFFF0000"/>
              <x14:axisColor rgb="FF000000"/>
            </x14:dataBar>
          </x14:cfRule>
          <xm:sqref>I9:I13</xm:sqref>
        </x14:conditionalFormatting>
        <x14:conditionalFormatting xmlns:xm="http://schemas.microsoft.com/office/excel/2006/main">
          <x14:cfRule type="dataBar" id="{3B131425-70FF-4EDB-A9AE-8BCE9EEBFF9A}">
            <x14:dataBar minLength="0" maxLength="100" border="1" negativeBarBorderColorSameAsPositive="0">
              <x14:cfvo type="autoMin"/>
              <x14:cfvo type="autoMax"/>
              <x14:borderColor rgb="FF63C384"/>
              <x14:negativeFillColor rgb="FFFF0000"/>
              <x14:negativeBorderColor rgb="FFFF0000"/>
              <x14:axisColor rgb="FF000000"/>
            </x14:dataBar>
          </x14:cfRule>
          <xm:sqref>N9:N13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P152"/>
  <sheetViews>
    <sheetView showGridLines="0" zoomScaleNormal="100" workbookViewId="0"/>
  </sheetViews>
  <sheetFormatPr defaultRowHeight="15" x14ac:dyDescent="0.25"/>
  <cols>
    <col min="1" max="1" width="11.140625" bestFit="1" customWidth="1"/>
    <col min="2" max="2" width="16.7109375" bestFit="1" customWidth="1"/>
    <col min="3" max="3" width="16.7109375" customWidth="1"/>
    <col min="4" max="4" width="9.28515625" customWidth="1"/>
    <col min="5" max="5" width="10.42578125" customWidth="1"/>
    <col min="7" max="7" width="11.28515625" customWidth="1"/>
    <col min="8" max="8" width="16.7109375" customWidth="1"/>
    <col min="9" max="9" width="19" customWidth="1"/>
    <col min="13" max="13" width="10.7109375" bestFit="1" customWidth="1"/>
    <col min="14" max="14" width="9.7109375" bestFit="1" customWidth="1"/>
  </cols>
  <sheetData>
    <row r="1" spans="1:16" x14ac:dyDescent="0.25">
      <c r="A1" s="1" t="s">
        <v>0</v>
      </c>
      <c r="B1" s="1" t="s">
        <v>154</v>
      </c>
      <c r="C1" s="1" t="s">
        <v>153</v>
      </c>
      <c r="D1" s="1" t="s">
        <v>1</v>
      </c>
      <c r="E1" s="1" t="s">
        <v>2</v>
      </c>
      <c r="F1" s="1" t="s">
        <v>3</v>
      </c>
      <c r="G1" s="1" t="s">
        <v>4</v>
      </c>
      <c r="H1" s="1" t="s">
        <v>5</v>
      </c>
      <c r="I1" s="1" t="s">
        <v>6</v>
      </c>
    </row>
    <row r="2" spans="1:16" x14ac:dyDescent="0.25">
      <c r="A2" s="4" t="s">
        <v>20</v>
      </c>
      <c r="B2" s="5">
        <f t="shared" ref="B2:B33" si="0">DATE(RIGHT(A2,4), MID(A2,4,2), LEFT(A2,2))</f>
        <v>44953</v>
      </c>
      <c r="C2" s="13" t="s">
        <v>161</v>
      </c>
      <c r="D2" t="s">
        <v>139</v>
      </c>
      <c r="E2" t="s">
        <v>145</v>
      </c>
      <c r="F2" t="s">
        <v>148</v>
      </c>
      <c r="G2">
        <v>3</v>
      </c>
      <c r="H2" s="10">
        <v>1175</v>
      </c>
      <c r="I2" s="10">
        <v>3525</v>
      </c>
    </row>
    <row r="3" spans="1:16" x14ac:dyDescent="0.25">
      <c r="A3" s="4" t="s">
        <v>40</v>
      </c>
      <c r="B3" s="18">
        <f t="shared" si="0"/>
        <v>44937</v>
      </c>
      <c r="C3" s="13" t="s">
        <v>161</v>
      </c>
      <c r="D3" t="s">
        <v>138</v>
      </c>
      <c r="E3" t="s">
        <v>142</v>
      </c>
      <c r="F3" t="s">
        <v>146</v>
      </c>
      <c r="G3">
        <v>3</v>
      </c>
      <c r="H3" s="10">
        <v>1595</v>
      </c>
      <c r="I3" s="10">
        <v>4785</v>
      </c>
    </row>
    <row r="4" spans="1:16" x14ac:dyDescent="0.25">
      <c r="A4" s="4" t="s">
        <v>42</v>
      </c>
      <c r="B4" s="5">
        <f t="shared" si="0"/>
        <v>44934</v>
      </c>
      <c r="C4" s="13" t="s">
        <v>161</v>
      </c>
      <c r="D4" t="s">
        <v>137</v>
      </c>
      <c r="E4" t="s">
        <v>145</v>
      </c>
      <c r="F4" t="s">
        <v>146</v>
      </c>
      <c r="G4">
        <v>5</v>
      </c>
      <c r="H4" s="10">
        <v>2450</v>
      </c>
      <c r="I4" s="10">
        <v>12250</v>
      </c>
    </row>
    <row r="5" spans="1:16" x14ac:dyDescent="0.25">
      <c r="A5" s="4" t="s">
        <v>50</v>
      </c>
      <c r="B5" s="5">
        <f t="shared" si="0"/>
        <v>44955</v>
      </c>
      <c r="C5" s="13" t="s">
        <v>161</v>
      </c>
      <c r="D5" t="s">
        <v>140</v>
      </c>
      <c r="E5" t="s">
        <v>145</v>
      </c>
      <c r="F5" t="s">
        <v>146</v>
      </c>
      <c r="G5">
        <v>4</v>
      </c>
      <c r="H5" s="10">
        <v>2742</v>
      </c>
      <c r="I5" s="10">
        <v>10968</v>
      </c>
    </row>
    <row r="6" spans="1:16" x14ac:dyDescent="0.25">
      <c r="A6" s="4" t="s">
        <v>55</v>
      </c>
      <c r="B6" s="5">
        <f t="shared" si="0"/>
        <v>44938</v>
      </c>
      <c r="C6" s="13" t="s">
        <v>161</v>
      </c>
      <c r="D6" t="s">
        <v>138</v>
      </c>
      <c r="E6" t="s">
        <v>142</v>
      </c>
      <c r="F6" t="s">
        <v>147</v>
      </c>
      <c r="G6">
        <v>3</v>
      </c>
      <c r="H6" s="10">
        <v>535</v>
      </c>
      <c r="I6" s="10">
        <v>1605</v>
      </c>
    </row>
    <row r="7" spans="1:16" x14ac:dyDescent="0.25">
      <c r="A7" s="4" t="s">
        <v>58</v>
      </c>
      <c r="B7" s="5">
        <f t="shared" si="0"/>
        <v>44957</v>
      </c>
      <c r="C7" s="13" t="s">
        <v>161</v>
      </c>
      <c r="D7" t="s">
        <v>139</v>
      </c>
      <c r="E7" t="s">
        <v>145</v>
      </c>
      <c r="F7" t="s">
        <v>147</v>
      </c>
      <c r="G7">
        <v>2</v>
      </c>
      <c r="H7" s="10">
        <v>1847</v>
      </c>
      <c r="I7" s="10">
        <v>3694</v>
      </c>
    </row>
    <row r="8" spans="1:16" x14ac:dyDescent="0.25">
      <c r="A8" s="4" t="s">
        <v>55</v>
      </c>
      <c r="B8" s="5">
        <f t="shared" si="0"/>
        <v>44938</v>
      </c>
      <c r="C8" s="13" t="s">
        <v>161</v>
      </c>
      <c r="D8" t="s">
        <v>138</v>
      </c>
      <c r="E8" t="s">
        <v>143</v>
      </c>
      <c r="F8" t="s">
        <v>149</v>
      </c>
      <c r="G8">
        <v>2</v>
      </c>
      <c r="H8" s="10">
        <v>2917</v>
      </c>
      <c r="I8" s="10">
        <v>5834</v>
      </c>
      <c r="N8" s="4"/>
    </row>
    <row r="9" spans="1:16" x14ac:dyDescent="0.25">
      <c r="A9" s="4" t="s">
        <v>86</v>
      </c>
      <c r="B9" s="5">
        <f t="shared" si="0"/>
        <v>44942</v>
      </c>
      <c r="C9" s="13" t="s">
        <v>161</v>
      </c>
      <c r="D9" t="s">
        <v>141</v>
      </c>
      <c r="E9" t="s">
        <v>142</v>
      </c>
      <c r="F9" t="s">
        <v>149</v>
      </c>
      <c r="G9">
        <v>4</v>
      </c>
      <c r="H9" s="10">
        <v>2988</v>
      </c>
      <c r="I9" s="10">
        <v>11952</v>
      </c>
      <c r="P9" s="4"/>
    </row>
    <row r="10" spans="1:16" x14ac:dyDescent="0.25">
      <c r="A10" s="4" t="s">
        <v>90</v>
      </c>
      <c r="B10" s="5">
        <f t="shared" si="0"/>
        <v>44949</v>
      </c>
      <c r="C10" s="13" t="s">
        <v>161</v>
      </c>
      <c r="D10" t="s">
        <v>138</v>
      </c>
      <c r="E10" t="s">
        <v>144</v>
      </c>
      <c r="F10" t="s">
        <v>147</v>
      </c>
      <c r="G10">
        <v>1</v>
      </c>
      <c r="H10" s="10">
        <v>2989</v>
      </c>
      <c r="I10" s="10">
        <v>2989</v>
      </c>
    </row>
    <row r="11" spans="1:16" x14ac:dyDescent="0.25">
      <c r="A11" s="4" t="s">
        <v>124</v>
      </c>
      <c r="B11" s="5">
        <f t="shared" si="0"/>
        <v>44933</v>
      </c>
      <c r="C11" s="13" t="s">
        <v>161</v>
      </c>
      <c r="D11" t="s">
        <v>138</v>
      </c>
      <c r="E11" t="s">
        <v>142</v>
      </c>
      <c r="F11" t="s">
        <v>147</v>
      </c>
      <c r="G11">
        <v>1</v>
      </c>
      <c r="H11" s="10">
        <v>444</v>
      </c>
      <c r="I11" s="10">
        <v>444</v>
      </c>
    </row>
    <row r="12" spans="1:16" x14ac:dyDescent="0.25">
      <c r="A12" s="4" t="s">
        <v>130</v>
      </c>
      <c r="B12" s="5">
        <f t="shared" si="0"/>
        <v>44931</v>
      </c>
      <c r="C12" s="13" t="s">
        <v>161</v>
      </c>
      <c r="D12" t="s">
        <v>139</v>
      </c>
      <c r="E12" t="s">
        <v>142</v>
      </c>
      <c r="F12" t="s">
        <v>148</v>
      </c>
      <c r="G12">
        <v>3</v>
      </c>
      <c r="H12" s="10">
        <v>1758</v>
      </c>
      <c r="I12" s="10">
        <v>5274</v>
      </c>
    </row>
    <row r="13" spans="1:16" x14ac:dyDescent="0.25">
      <c r="A13" s="4" t="s">
        <v>22</v>
      </c>
      <c r="B13" s="5">
        <f t="shared" si="0"/>
        <v>44976</v>
      </c>
      <c r="C13" s="13" t="s">
        <v>162</v>
      </c>
      <c r="D13" t="s">
        <v>140</v>
      </c>
      <c r="E13" t="s">
        <v>143</v>
      </c>
      <c r="F13" t="s">
        <v>147</v>
      </c>
      <c r="G13">
        <v>2</v>
      </c>
      <c r="H13" s="10">
        <v>1257</v>
      </c>
      <c r="I13" s="10">
        <v>2514</v>
      </c>
    </row>
    <row r="14" spans="1:16" x14ac:dyDescent="0.25">
      <c r="A14" s="4" t="s">
        <v>37</v>
      </c>
      <c r="B14" s="5">
        <f t="shared" si="0"/>
        <v>44978</v>
      </c>
      <c r="C14" s="13" t="s">
        <v>162</v>
      </c>
      <c r="D14" t="s">
        <v>139</v>
      </c>
      <c r="E14" t="s">
        <v>144</v>
      </c>
      <c r="F14" t="s">
        <v>148</v>
      </c>
      <c r="G14">
        <v>1</v>
      </c>
      <c r="H14" s="10">
        <v>1267</v>
      </c>
      <c r="I14" s="10">
        <v>1267</v>
      </c>
    </row>
    <row r="15" spans="1:16" x14ac:dyDescent="0.25">
      <c r="A15" s="4" t="s">
        <v>47</v>
      </c>
      <c r="B15" s="5">
        <f t="shared" si="0"/>
        <v>44963</v>
      </c>
      <c r="C15" s="13" t="s">
        <v>162</v>
      </c>
      <c r="D15" t="s">
        <v>137</v>
      </c>
      <c r="E15" t="s">
        <v>144</v>
      </c>
      <c r="F15" t="s">
        <v>147</v>
      </c>
      <c r="G15">
        <v>5</v>
      </c>
      <c r="H15" s="10">
        <v>1162</v>
      </c>
      <c r="I15" s="10">
        <v>5810</v>
      </c>
    </row>
    <row r="16" spans="1:16" x14ac:dyDescent="0.25">
      <c r="A16" s="4" t="s">
        <v>62</v>
      </c>
      <c r="B16" s="5">
        <f t="shared" si="0"/>
        <v>44977</v>
      </c>
      <c r="C16" s="13" t="s">
        <v>162</v>
      </c>
      <c r="D16" t="s">
        <v>140</v>
      </c>
      <c r="E16" t="s">
        <v>145</v>
      </c>
      <c r="F16" t="s">
        <v>146</v>
      </c>
      <c r="G16">
        <v>3</v>
      </c>
      <c r="H16" s="10">
        <v>1376</v>
      </c>
      <c r="I16" s="10">
        <v>4128</v>
      </c>
    </row>
    <row r="17" spans="1:9" x14ac:dyDescent="0.25">
      <c r="A17" s="4" t="s">
        <v>65</v>
      </c>
      <c r="B17" s="5">
        <f t="shared" si="0"/>
        <v>44961</v>
      </c>
      <c r="C17" s="13" t="s">
        <v>162</v>
      </c>
      <c r="D17" t="s">
        <v>141</v>
      </c>
      <c r="E17" t="s">
        <v>144</v>
      </c>
      <c r="F17" t="s">
        <v>149</v>
      </c>
      <c r="G17">
        <v>4</v>
      </c>
      <c r="H17" s="10">
        <v>2458</v>
      </c>
      <c r="I17" s="10">
        <v>9832</v>
      </c>
    </row>
    <row r="18" spans="1:9" x14ac:dyDescent="0.25">
      <c r="A18" s="4" t="s">
        <v>73</v>
      </c>
      <c r="B18" s="5">
        <f t="shared" si="0"/>
        <v>44972</v>
      </c>
      <c r="C18" s="13" t="s">
        <v>162</v>
      </c>
      <c r="D18" t="s">
        <v>137</v>
      </c>
      <c r="E18" t="s">
        <v>145</v>
      </c>
      <c r="F18" t="s">
        <v>149</v>
      </c>
      <c r="G18">
        <v>5</v>
      </c>
      <c r="H18" s="10">
        <v>712</v>
      </c>
      <c r="I18" s="10">
        <v>3560</v>
      </c>
    </row>
    <row r="19" spans="1:9" x14ac:dyDescent="0.25">
      <c r="A19" s="4" t="s">
        <v>82</v>
      </c>
      <c r="B19" s="5">
        <f t="shared" si="0"/>
        <v>44959</v>
      </c>
      <c r="C19" s="13" t="s">
        <v>162</v>
      </c>
      <c r="D19" t="s">
        <v>139</v>
      </c>
      <c r="E19" t="s">
        <v>143</v>
      </c>
      <c r="F19" t="s">
        <v>147</v>
      </c>
      <c r="G19">
        <v>4</v>
      </c>
      <c r="H19" s="10">
        <v>2979</v>
      </c>
      <c r="I19" s="10">
        <v>11916</v>
      </c>
    </row>
    <row r="20" spans="1:9" x14ac:dyDescent="0.25">
      <c r="A20" s="4" t="s">
        <v>87</v>
      </c>
      <c r="B20" s="5">
        <f t="shared" si="0"/>
        <v>44980</v>
      </c>
      <c r="C20" s="13" t="s">
        <v>162</v>
      </c>
      <c r="D20" t="s">
        <v>137</v>
      </c>
      <c r="E20" t="s">
        <v>142</v>
      </c>
      <c r="F20" t="s">
        <v>148</v>
      </c>
      <c r="G20">
        <v>4</v>
      </c>
      <c r="H20" s="10">
        <v>1926</v>
      </c>
      <c r="I20" s="10">
        <v>7704</v>
      </c>
    </row>
    <row r="21" spans="1:9" x14ac:dyDescent="0.25">
      <c r="A21" s="4" t="s">
        <v>101</v>
      </c>
      <c r="B21" s="5">
        <f t="shared" si="0"/>
        <v>44982</v>
      </c>
      <c r="C21" s="13" t="s">
        <v>162</v>
      </c>
      <c r="D21" t="s">
        <v>139</v>
      </c>
      <c r="E21" t="s">
        <v>145</v>
      </c>
      <c r="F21" t="s">
        <v>148</v>
      </c>
      <c r="G21">
        <v>4</v>
      </c>
      <c r="H21" s="10">
        <v>1643</v>
      </c>
      <c r="I21" s="10">
        <v>6572</v>
      </c>
    </row>
    <row r="22" spans="1:9" x14ac:dyDescent="0.25">
      <c r="A22" s="4" t="s">
        <v>62</v>
      </c>
      <c r="B22" s="5">
        <f t="shared" si="0"/>
        <v>44977</v>
      </c>
      <c r="C22" s="13" t="s">
        <v>162</v>
      </c>
      <c r="D22" t="s">
        <v>139</v>
      </c>
      <c r="E22" t="s">
        <v>143</v>
      </c>
      <c r="F22" t="s">
        <v>149</v>
      </c>
      <c r="G22">
        <v>1</v>
      </c>
      <c r="H22" s="10">
        <v>2102</v>
      </c>
      <c r="I22" s="10">
        <v>2102</v>
      </c>
    </row>
    <row r="23" spans="1:9" x14ac:dyDescent="0.25">
      <c r="A23" s="4" t="s">
        <v>47</v>
      </c>
      <c r="B23" s="5">
        <f t="shared" si="0"/>
        <v>44963</v>
      </c>
      <c r="C23" s="13" t="s">
        <v>162</v>
      </c>
      <c r="D23" t="s">
        <v>139</v>
      </c>
      <c r="E23" t="s">
        <v>142</v>
      </c>
      <c r="F23" t="s">
        <v>148</v>
      </c>
      <c r="G23">
        <v>1</v>
      </c>
      <c r="H23" s="10">
        <v>2863</v>
      </c>
      <c r="I23" s="10">
        <v>2863</v>
      </c>
    </row>
    <row r="24" spans="1:9" x14ac:dyDescent="0.25">
      <c r="A24" s="4" t="s">
        <v>22</v>
      </c>
      <c r="B24" s="5">
        <f t="shared" si="0"/>
        <v>44976</v>
      </c>
      <c r="C24" s="13" t="s">
        <v>162</v>
      </c>
      <c r="D24" t="s">
        <v>140</v>
      </c>
      <c r="E24" t="s">
        <v>145</v>
      </c>
      <c r="F24" t="s">
        <v>147</v>
      </c>
      <c r="G24">
        <v>4</v>
      </c>
      <c r="H24" s="10">
        <v>1273</v>
      </c>
      <c r="I24" s="10">
        <v>5092</v>
      </c>
    </row>
    <row r="25" spans="1:9" x14ac:dyDescent="0.25">
      <c r="A25" s="4" t="s">
        <v>121</v>
      </c>
      <c r="B25" s="5">
        <f t="shared" si="0"/>
        <v>44974</v>
      </c>
      <c r="C25" s="13" t="s">
        <v>162</v>
      </c>
      <c r="D25" t="s">
        <v>139</v>
      </c>
      <c r="E25" t="s">
        <v>144</v>
      </c>
      <c r="F25" t="s">
        <v>148</v>
      </c>
      <c r="G25">
        <v>3</v>
      </c>
      <c r="H25" s="10">
        <v>1616</v>
      </c>
      <c r="I25" s="10">
        <v>4848</v>
      </c>
    </row>
    <row r="26" spans="1:9" x14ac:dyDescent="0.25">
      <c r="A26" s="4" t="s">
        <v>128</v>
      </c>
      <c r="B26" s="5">
        <f t="shared" si="0"/>
        <v>44975</v>
      </c>
      <c r="C26" s="13" t="s">
        <v>162</v>
      </c>
      <c r="D26" t="s">
        <v>141</v>
      </c>
      <c r="E26" t="s">
        <v>143</v>
      </c>
      <c r="F26" t="s">
        <v>149</v>
      </c>
      <c r="G26">
        <v>1</v>
      </c>
      <c r="H26" s="10">
        <v>1379</v>
      </c>
      <c r="I26" s="10">
        <v>1379</v>
      </c>
    </row>
    <row r="27" spans="1:9" x14ac:dyDescent="0.25">
      <c r="A27" s="4" t="s">
        <v>129</v>
      </c>
      <c r="B27" s="5">
        <f t="shared" si="0"/>
        <v>44968</v>
      </c>
      <c r="C27" s="13" t="s">
        <v>162</v>
      </c>
      <c r="D27" t="s">
        <v>140</v>
      </c>
      <c r="E27" t="s">
        <v>143</v>
      </c>
      <c r="F27" t="s">
        <v>147</v>
      </c>
      <c r="G27">
        <v>4</v>
      </c>
      <c r="H27" s="10">
        <v>1968</v>
      </c>
      <c r="I27" s="10">
        <v>7872</v>
      </c>
    </row>
    <row r="28" spans="1:9" x14ac:dyDescent="0.25">
      <c r="A28" s="4" t="s">
        <v>133</v>
      </c>
      <c r="B28" s="5">
        <f t="shared" si="0"/>
        <v>44971</v>
      </c>
      <c r="C28" s="13" t="s">
        <v>162</v>
      </c>
      <c r="D28" t="s">
        <v>141</v>
      </c>
      <c r="E28" t="s">
        <v>143</v>
      </c>
      <c r="F28" t="s">
        <v>149</v>
      </c>
      <c r="G28">
        <v>2</v>
      </c>
      <c r="H28" s="10">
        <v>2925</v>
      </c>
      <c r="I28" s="10">
        <v>5850</v>
      </c>
    </row>
    <row r="29" spans="1:9" x14ac:dyDescent="0.25">
      <c r="A29" s="4" t="s">
        <v>134</v>
      </c>
      <c r="B29" s="5">
        <f t="shared" si="0"/>
        <v>44979</v>
      </c>
      <c r="C29" s="13" t="s">
        <v>162</v>
      </c>
      <c r="D29" t="s">
        <v>139</v>
      </c>
      <c r="E29" t="s">
        <v>143</v>
      </c>
      <c r="F29" t="s">
        <v>148</v>
      </c>
      <c r="G29">
        <v>4</v>
      </c>
      <c r="H29" s="10">
        <v>1052</v>
      </c>
      <c r="I29" s="10">
        <v>4208</v>
      </c>
    </row>
    <row r="30" spans="1:9" x14ac:dyDescent="0.25">
      <c r="A30" s="4" t="s">
        <v>24</v>
      </c>
      <c r="B30" s="5">
        <f t="shared" si="0"/>
        <v>44995</v>
      </c>
      <c r="C30" s="13" t="s">
        <v>163</v>
      </c>
      <c r="D30" t="s">
        <v>138</v>
      </c>
      <c r="E30" t="s">
        <v>143</v>
      </c>
      <c r="F30" t="s">
        <v>148</v>
      </c>
      <c r="G30">
        <v>3</v>
      </c>
      <c r="H30" s="10">
        <v>2529</v>
      </c>
      <c r="I30" s="10">
        <v>7587</v>
      </c>
    </row>
    <row r="31" spans="1:9" x14ac:dyDescent="0.25">
      <c r="A31" s="4" t="s">
        <v>45</v>
      </c>
      <c r="B31" s="5">
        <f t="shared" si="0"/>
        <v>45006</v>
      </c>
      <c r="C31" s="13" t="s">
        <v>163</v>
      </c>
      <c r="D31" t="s">
        <v>137</v>
      </c>
      <c r="E31" t="s">
        <v>144</v>
      </c>
      <c r="F31" t="s">
        <v>149</v>
      </c>
      <c r="G31">
        <v>5</v>
      </c>
      <c r="H31" s="10">
        <v>1617</v>
      </c>
      <c r="I31" s="10">
        <v>8085</v>
      </c>
    </row>
    <row r="32" spans="1:9" x14ac:dyDescent="0.25">
      <c r="A32" s="4" t="s">
        <v>46</v>
      </c>
      <c r="B32" s="5">
        <f t="shared" si="0"/>
        <v>45000</v>
      </c>
      <c r="C32" s="13" t="s">
        <v>163</v>
      </c>
      <c r="D32" t="s">
        <v>137</v>
      </c>
      <c r="E32" t="s">
        <v>142</v>
      </c>
      <c r="F32" t="s">
        <v>147</v>
      </c>
      <c r="G32">
        <v>3</v>
      </c>
      <c r="H32" s="10">
        <v>440</v>
      </c>
      <c r="I32" s="10">
        <v>1320</v>
      </c>
    </row>
    <row r="33" spans="1:9" x14ac:dyDescent="0.25">
      <c r="A33" s="4" t="s">
        <v>48</v>
      </c>
      <c r="B33" s="5">
        <f t="shared" si="0"/>
        <v>44986</v>
      </c>
      <c r="C33" s="13" t="s">
        <v>163</v>
      </c>
      <c r="D33" t="s">
        <v>137</v>
      </c>
      <c r="E33" t="s">
        <v>145</v>
      </c>
      <c r="F33" t="s">
        <v>148</v>
      </c>
      <c r="G33">
        <v>5</v>
      </c>
      <c r="H33" s="10">
        <v>2944</v>
      </c>
      <c r="I33" s="10">
        <v>14720</v>
      </c>
    </row>
    <row r="34" spans="1:9" x14ac:dyDescent="0.25">
      <c r="A34" s="4" t="s">
        <v>49</v>
      </c>
      <c r="B34" s="5">
        <f t="shared" ref="B34:B65" si="1">DATE(RIGHT(A34,4), MID(A34,4,2), LEFT(A34,2))</f>
        <v>45012</v>
      </c>
      <c r="C34" s="13" t="s">
        <v>163</v>
      </c>
      <c r="D34" t="s">
        <v>139</v>
      </c>
      <c r="E34" t="s">
        <v>142</v>
      </c>
      <c r="F34" t="s">
        <v>148</v>
      </c>
      <c r="G34">
        <v>5</v>
      </c>
      <c r="H34" s="10">
        <v>2435</v>
      </c>
      <c r="I34" s="10">
        <v>12175</v>
      </c>
    </row>
    <row r="35" spans="1:9" x14ac:dyDescent="0.25">
      <c r="A35" s="4" t="s">
        <v>52</v>
      </c>
      <c r="B35" s="5">
        <f t="shared" si="1"/>
        <v>44993</v>
      </c>
      <c r="C35" s="13" t="s">
        <v>163</v>
      </c>
      <c r="D35" t="s">
        <v>137</v>
      </c>
      <c r="E35" t="s">
        <v>142</v>
      </c>
      <c r="F35" t="s">
        <v>147</v>
      </c>
      <c r="G35">
        <v>5</v>
      </c>
      <c r="H35" s="10">
        <v>1102</v>
      </c>
      <c r="I35" s="10">
        <v>5510</v>
      </c>
    </row>
    <row r="36" spans="1:9" x14ac:dyDescent="0.25">
      <c r="A36" s="4" t="s">
        <v>83</v>
      </c>
      <c r="B36" s="5">
        <f t="shared" si="1"/>
        <v>45005</v>
      </c>
      <c r="C36" s="13" t="s">
        <v>163</v>
      </c>
      <c r="D36" t="s">
        <v>140</v>
      </c>
      <c r="E36" t="s">
        <v>145</v>
      </c>
      <c r="F36" t="s">
        <v>147</v>
      </c>
      <c r="G36">
        <v>2</v>
      </c>
      <c r="H36" s="10">
        <v>611</v>
      </c>
      <c r="I36" s="10">
        <v>1222</v>
      </c>
    </row>
    <row r="37" spans="1:9" x14ac:dyDescent="0.25">
      <c r="A37" s="4" t="s">
        <v>98</v>
      </c>
      <c r="B37" s="5">
        <f t="shared" si="1"/>
        <v>44994</v>
      </c>
      <c r="C37" s="13" t="s">
        <v>163</v>
      </c>
      <c r="D37" t="s">
        <v>138</v>
      </c>
      <c r="E37" t="s">
        <v>142</v>
      </c>
      <c r="F37" t="s">
        <v>148</v>
      </c>
      <c r="G37">
        <v>5</v>
      </c>
      <c r="H37" s="10">
        <v>800</v>
      </c>
      <c r="I37" s="10">
        <v>4000</v>
      </c>
    </row>
    <row r="38" spans="1:9" x14ac:dyDescent="0.25">
      <c r="A38" s="4" t="s">
        <v>106</v>
      </c>
      <c r="B38" s="5">
        <f t="shared" si="1"/>
        <v>45004</v>
      </c>
      <c r="C38" s="13" t="s">
        <v>163</v>
      </c>
      <c r="D38" t="s">
        <v>141</v>
      </c>
      <c r="E38" t="s">
        <v>145</v>
      </c>
      <c r="F38" t="s">
        <v>148</v>
      </c>
      <c r="G38">
        <v>3</v>
      </c>
      <c r="H38" s="10">
        <v>788</v>
      </c>
      <c r="I38" s="10">
        <v>2364</v>
      </c>
    </row>
    <row r="39" spans="1:9" x14ac:dyDescent="0.25">
      <c r="A39" s="4" t="s">
        <v>114</v>
      </c>
      <c r="B39" s="5">
        <f t="shared" si="1"/>
        <v>44987</v>
      </c>
      <c r="C39" s="13" t="s">
        <v>163</v>
      </c>
      <c r="D39" t="s">
        <v>139</v>
      </c>
      <c r="E39" t="s">
        <v>144</v>
      </c>
      <c r="F39" t="s">
        <v>146</v>
      </c>
      <c r="G39">
        <v>4</v>
      </c>
      <c r="H39" s="10">
        <v>1093</v>
      </c>
      <c r="I39" s="10">
        <v>4372</v>
      </c>
    </row>
    <row r="40" spans="1:9" x14ac:dyDescent="0.25">
      <c r="A40" s="4" t="s">
        <v>116</v>
      </c>
      <c r="B40" s="5">
        <f t="shared" si="1"/>
        <v>45014</v>
      </c>
      <c r="C40" s="13" t="s">
        <v>163</v>
      </c>
      <c r="D40" t="s">
        <v>141</v>
      </c>
      <c r="E40" t="s">
        <v>145</v>
      </c>
      <c r="F40" t="s">
        <v>146</v>
      </c>
      <c r="G40">
        <v>2</v>
      </c>
      <c r="H40" s="10">
        <v>2438</v>
      </c>
      <c r="I40" s="10">
        <v>4876</v>
      </c>
    </row>
    <row r="41" spans="1:9" x14ac:dyDescent="0.25">
      <c r="A41" s="4" t="s">
        <v>118</v>
      </c>
      <c r="B41" s="5">
        <f t="shared" si="1"/>
        <v>44990</v>
      </c>
      <c r="C41" s="13" t="s">
        <v>163</v>
      </c>
      <c r="D41" t="s">
        <v>138</v>
      </c>
      <c r="E41" t="s">
        <v>145</v>
      </c>
      <c r="F41" t="s">
        <v>148</v>
      </c>
      <c r="G41">
        <v>5</v>
      </c>
      <c r="H41" s="10">
        <v>2719</v>
      </c>
      <c r="I41" s="10">
        <v>13595</v>
      </c>
    </row>
    <row r="42" spans="1:9" x14ac:dyDescent="0.25">
      <c r="A42" s="4" t="s">
        <v>122</v>
      </c>
      <c r="B42" s="5">
        <f t="shared" si="1"/>
        <v>45002</v>
      </c>
      <c r="C42" s="13" t="s">
        <v>163</v>
      </c>
      <c r="D42" t="s">
        <v>139</v>
      </c>
      <c r="E42" t="s">
        <v>143</v>
      </c>
      <c r="F42" t="s">
        <v>149</v>
      </c>
      <c r="G42">
        <v>5</v>
      </c>
      <c r="H42" s="10">
        <v>1514</v>
      </c>
      <c r="I42" s="10">
        <v>7570</v>
      </c>
    </row>
    <row r="43" spans="1:9" x14ac:dyDescent="0.25">
      <c r="A43" s="4" t="s">
        <v>52</v>
      </c>
      <c r="B43" s="5">
        <f t="shared" si="1"/>
        <v>44993</v>
      </c>
      <c r="C43" s="13" t="s">
        <v>163</v>
      </c>
      <c r="D43" t="s">
        <v>138</v>
      </c>
      <c r="E43" t="s">
        <v>145</v>
      </c>
      <c r="F43" t="s">
        <v>146</v>
      </c>
      <c r="G43">
        <v>4</v>
      </c>
      <c r="H43" s="10">
        <v>2919</v>
      </c>
      <c r="I43" s="10">
        <v>11676</v>
      </c>
    </row>
    <row r="44" spans="1:9" x14ac:dyDescent="0.25">
      <c r="A44" s="4" t="s">
        <v>9</v>
      </c>
      <c r="B44" s="5">
        <f t="shared" si="1"/>
        <v>45017</v>
      </c>
      <c r="C44" s="13" t="s">
        <v>157</v>
      </c>
      <c r="D44" t="s">
        <v>139</v>
      </c>
      <c r="E44" t="s">
        <v>144</v>
      </c>
      <c r="F44" t="s">
        <v>148</v>
      </c>
      <c r="G44">
        <v>5</v>
      </c>
      <c r="H44" s="10">
        <v>840</v>
      </c>
      <c r="I44" s="10">
        <v>4200</v>
      </c>
    </row>
    <row r="45" spans="1:9" x14ac:dyDescent="0.25">
      <c r="A45" s="4" t="s">
        <v>12</v>
      </c>
      <c r="B45" s="5">
        <f t="shared" si="1"/>
        <v>45030</v>
      </c>
      <c r="C45" s="13" t="s">
        <v>157</v>
      </c>
      <c r="D45" t="s">
        <v>138</v>
      </c>
      <c r="E45" t="s">
        <v>144</v>
      </c>
      <c r="F45" t="s">
        <v>146</v>
      </c>
      <c r="G45">
        <v>4</v>
      </c>
      <c r="H45" s="10">
        <v>2713</v>
      </c>
      <c r="I45" s="10">
        <v>10852</v>
      </c>
    </row>
    <row r="46" spans="1:9" x14ac:dyDescent="0.25">
      <c r="A46" s="4" t="s">
        <v>12</v>
      </c>
      <c r="B46" s="5">
        <f t="shared" si="1"/>
        <v>45030</v>
      </c>
      <c r="C46" s="13" t="s">
        <v>157</v>
      </c>
      <c r="D46" t="s">
        <v>140</v>
      </c>
      <c r="E46" t="s">
        <v>145</v>
      </c>
      <c r="F46" t="s">
        <v>146</v>
      </c>
      <c r="G46">
        <v>1</v>
      </c>
      <c r="H46" s="10">
        <v>1045</v>
      </c>
      <c r="I46" s="10">
        <v>1045</v>
      </c>
    </row>
    <row r="47" spans="1:9" x14ac:dyDescent="0.25">
      <c r="A47" s="4" t="s">
        <v>9</v>
      </c>
      <c r="B47" s="5">
        <f t="shared" si="1"/>
        <v>45017</v>
      </c>
      <c r="C47" s="13" t="s">
        <v>157</v>
      </c>
      <c r="D47" t="s">
        <v>139</v>
      </c>
      <c r="E47" t="s">
        <v>144</v>
      </c>
      <c r="F47" t="s">
        <v>149</v>
      </c>
      <c r="G47">
        <v>2</v>
      </c>
      <c r="H47" s="10">
        <v>1660</v>
      </c>
      <c r="I47" s="10">
        <v>3320</v>
      </c>
    </row>
    <row r="48" spans="1:9" x14ac:dyDescent="0.25">
      <c r="A48" s="4" t="s">
        <v>21</v>
      </c>
      <c r="B48" s="5">
        <f t="shared" si="1"/>
        <v>45044</v>
      </c>
      <c r="C48" s="13" t="s">
        <v>157</v>
      </c>
      <c r="D48" t="s">
        <v>138</v>
      </c>
      <c r="E48" t="s">
        <v>145</v>
      </c>
      <c r="F48" t="s">
        <v>148</v>
      </c>
      <c r="G48">
        <v>2</v>
      </c>
      <c r="H48" s="10">
        <v>2954</v>
      </c>
      <c r="I48" s="10">
        <v>5908</v>
      </c>
    </row>
    <row r="49" spans="1:9" x14ac:dyDescent="0.25">
      <c r="A49" s="4" t="s">
        <v>23</v>
      </c>
      <c r="B49" s="5">
        <f t="shared" si="1"/>
        <v>45020</v>
      </c>
      <c r="C49" s="13" t="s">
        <v>157</v>
      </c>
      <c r="D49" t="s">
        <v>140</v>
      </c>
      <c r="E49" t="s">
        <v>142</v>
      </c>
      <c r="F49" t="s">
        <v>149</v>
      </c>
      <c r="G49">
        <v>2</v>
      </c>
      <c r="H49" s="10">
        <v>2432</v>
      </c>
      <c r="I49" s="10">
        <v>4864</v>
      </c>
    </row>
    <row r="50" spans="1:9" x14ac:dyDescent="0.25">
      <c r="A50" s="4" t="s">
        <v>44</v>
      </c>
      <c r="B50" s="5">
        <f t="shared" si="1"/>
        <v>45038</v>
      </c>
      <c r="C50" s="13" t="s">
        <v>157</v>
      </c>
      <c r="D50" t="s">
        <v>140</v>
      </c>
      <c r="E50" t="s">
        <v>145</v>
      </c>
      <c r="F50" t="s">
        <v>149</v>
      </c>
      <c r="G50">
        <v>3</v>
      </c>
      <c r="H50" s="10">
        <v>364</v>
      </c>
      <c r="I50" s="10">
        <v>1092</v>
      </c>
    </row>
    <row r="51" spans="1:9" x14ac:dyDescent="0.25">
      <c r="A51" s="4" t="s">
        <v>53</v>
      </c>
      <c r="B51" s="5">
        <f t="shared" si="1"/>
        <v>45032</v>
      </c>
      <c r="C51" s="13" t="s">
        <v>157</v>
      </c>
      <c r="D51" t="s">
        <v>137</v>
      </c>
      <c r="E51" t="s">
        <v>143</v>
      </c>
      <c r="F51" t="s">
        <v>149</v>
      </c>
      <c r="G51">
        <v>4</v>
      </c>
      <c r="H51" s="10">
        <v>103</v>
      </c>
      <c r="I51" s="10">
        <v>412</v>
      </c>
    </row>
    <row r="52" spans="1:9" x14ac:dyDescent="0.25">
      <c r="A52" s="4" t="s">
        <v>59</v>
      </c>
      <c r="B52" s="5">
        <f t="shared" si="1"/>
        <v>45045</v>
      </c>
      <c r="C52" s="13" t="s">
        <v>157</v>
      </c>
      <c r="D52" t="s">
        <v>138</v>
      </c>
      <c r="E52" t="s">
        <v>144</v>
      </c>
      <c r="F52" t="s">
        <v>146</v>
      </c>
      <c r="G52">
        <v>5</v>
      </c>
      <c r="H52" s="10">
        <v>480</v>
      </c>
      <c r="I52" s="10">
        <v>2400</v>
      </c>
    </row>
    <row r="53" spans="1:9" x14ac:dyDescent="0.25">
      <c r="A53" s="4" t="s">
        <v>12</v>
      </c>
      <c r="B53" s="5">
        <f t="shared" si="1"/>
        <v>45030</v>
      </c>
      <c r="C53" s="13" t="s">
        <v>157</v>
      </c>
      <c r="D53" t="s">
        <v>140</v>
      </c>
      <c r="E53" t="s">
        <v>143</v>
      </c>
      <c r="F53" t="s">
        <v>147</v>
      </c>
      <c r="G53">
        <v>3</v>
      </c>
      <c r="H53" s="10">
        <v>1432</v>
      </c>
      <c r="I53" s="10">
        <v>4296</v>
      </c>
    </row>
    <row r="54" spans="1:9" x14ac:dyDescent="0.25">
      <c r="A54" s="4" t="s">
        <v>91</v>
      </c>
      <c r="B54" s="5">
        <f t="shared" si="1"/>
        <v>45035</v>
      </c>
      <c r="C54" s="13" t="s">
        <v>157</v>
      </c>
      <c r="D54" t="s">
        <v>138</v>
      </c>
      <c r="E54" t="s">
        <v>142</v>
      </c>
      <c r="F54" t="s">
        <v>147</v>
      </c>
      <c r="G54">
        <v>1</v>
      </c>
      <c r="H54" s="10">
        <v>490</v>
      </c>
      <c r="I54" s="10">
        <v>490</v>
      </c>
    </row>
    <row r="55" spans="1:9" x14ac:dyDescent="0.25">
      <c r="A55" s="4" t="s">
        <v>93</v>
      </c>
      <c r="B55" s="5">
        <f t="shared" si="1"/>
        <v>45026</v>
      </c>
      <c r="C55" s="13" t="s">
        <v>157</v>
      </c>
      <c r="D55" t="s">
        <v>139</v>
      </c>
      <c r="E55" t="s">
        <v>145</v>
      </c>
      <c r="F55" t="s">
        <v>148</v>
      </c>
      <c r="G55">
        <v>2</v>
      </c>
      <c r="H55" s="10">
        <v>890</v>
      </c>
      <c r="I55" s="10">
        <v>1780</v>
      </c>
    </row>
    <row r="56" spans="1:9" x14ac:dyDescent="0.25">
      <c r="A56" s="4" t="s">
        <v>102</v>
      </c>
      <c r="B56" s="5">
        <f t="shared" si="1"/>
        <v>45029</v>
      </c>
      <c r="C56" s="13" t="s">
        <v>157</v>
      </c>
      <c r="D56" t="s">
        <v>137</v>
      </c>
      <c r="E56" t="s">
        <v>144</v>
      </c>
      <c r="F56" t="s">
        <v>146</v>
      </c>
      <c r="G56">
        <v>1</v>
      </c>
      <c r="H56" s="10">
        <v>731</v>
      </c>
      <c r="I56" s="10">
        <v>731</v>
      </c>
    </row>
    <row r="57" spans="1:9" x14ac:dyDescent="0.25">
      <c r="A57" s="4" t="s">
        <v>103</v>
      </c>
      <c r="B57" s="5">
        <f t="shared" si="1"/>
        <v>45043</v>
      </c>
      <c r="C57" s="13" t="s">
        <v>157</v>
      </c>
      <c r="D57" t="s">
        <v>138</v>
      </c>
      <c r="E57" t="s">
        <v>144</v>
      </c>
      <c r="F57" t="s">
        <v>148</v>
      </c>
      <c r="G57">
        <v>1</v>
      </c>
      <c r="H57" s="10">
        <v>645</v>
      </c>
      <c r="I57" s="10">
        <v>645</v>
      </c>
    </row>
    <row r="58" spans="1:9" x14ac:dyDescent="0.25">
      <c r="A58" s="4" t="s">
        <v>117</v>
      </c>
      <c r="B58" s="5">
        <f t="shared" si="1"/>
        <v>45040</v>
      </c>
      <c r="C58" s="13" t="s">
        <v>157</v>
      </c>
      <c r="D58" t="s">
        <v>137</v>
      </c>
      <c r="E58" t="s">
        <v>143</v>
      </c>
      <c r="F58" t="s">
        <v>146</v>
      </c>
      <c r="G58">
        <v>2</v>
      </c>
      <c r="H58" s="10">
        <v>1265</v>
      </c>
      <c r="I58" s="10">
        <v>2530</v>
      </c>
    </row>
    <row r="59" spans="1:9" x14ac:dyDescent="0.25">
      <c r="A59" s="4" t="s">
        <v>119</v>
      </c>
      <c r="B59" s="5">
        <f t="shared" si="1"/>
        <v>45027</v>
      </c>
      <c r="C59" s="13" t="s">
        <v>157</v>
      </c>
      <c r="D59" t="s">
        <v>139</v>
      </c>
      <c r="E59" t="s">
        <v>145</v>
      </c>
      <c r="F59" t="s">
        <v>148</v>
      </c>
      <c r="G59">
        <v>5</v>
      </c>
      <c r="H59" s="10">
        <v>1050</v>
      </c>
      <c r="I59" s="10">
        <v>5250</v>
      </c>
    </row>
    <row r="60" spans="1:9" x14ac:dyDescent="0.25">
      <c r="A60" s="4" t="s">
        <v>135</v>
      </c>
      <c r="B60" s="5">
        <f t="shared" si="1"/>
        <v>45041</v>
      </c>
      <c r="C60" s="13" t="s">
        <v>157</v>
      </c>
      <c r="D60" t="s">
        <v>139</v>
      </c>
      <c r="E60" t="s">
        <v>145</v>
      </c>
      <c r="F60" t="s">
        <v>149</v>
      </c>
      <c r="G60">
        <v>3</v>
      </c>
      <c r="H60" s="10">
        <v>2992</v>
      </c>
      <c r="I60" s="10">
        <v>8976</v>
      </c>
    </row>
    <row r="61" spans="1:9" x14ac:dyDescent="0.25">
      <c r="A61" s="4" t="s">
        <v>25</v>
      </c>
      <c r="B61" s="5">
        <f t="shared" si="1"/>
        <v>45095</v>
      </c>
      <c r="C61" s="13" t="s">
        <v>164</v>
      </c>
      <c r="D61" t="s">
        <v>141</v>
      </c>
      <c r="E61" t="s">
        <v>142</v>
      </c>
      <c r="F61" t="s">
        <v>146</v>
      </c>
      <c r="G61">
        <v>1</v>
      </c>
      <c r="H61" s="10">
        <v>2471</v>
      </c>
      <c r="I61" s="10">
        <v>2471</v>
      </c>
    </row>
    <row r="62" spans="1:9" x14ac:dyDescent="0.25">
      <c r="A62" s="4" t="s">
        <v>51</v>
      </c>
      <c r="B62" s="5">
        <f t="shared" si="1"/>
        <v>45088</v>
      </c>
      <c r="C62" s="13" t="s">
        <v>164</v>
      </c>
      <c r="D62" t="s">
        <v>140</v>
      </c>
      <c r="E62" t="s">
        <v>143</v>
      </c>
      <c r="F62" t="s">
        <v>147</v>
      </c>
      <c r="G62">
        <v>3</v>
      </c>
      <c r="H62" s="10">
        <v>1905</v>
      </c>
      <c r="I62" s="10">
        <v>5715</v>
      </c>
    </row>
    <row r="63" spans="1:9" x14ac:dyDescent="0.25">
      <c r="A63" s="4" t="s">
        <v>61</v>
      </c>
      <c r="B63" s="5">
        <f t="shared" si="1"/>
        <v>45096</v>
      </c>
      <c r="C63" s="13" t="s">
        <v>164</v>
      </c>
      <c r="D63" t="s">
        <v>138</v>
      </c>
      <c r="E63" t="s">
        <v>142</v>
      </c>
      <c r="F63" t="s">
        <v>146</v>
      </c>
      <c r="G63">
        <v>4</v>
      </c>
      <c r="H63" s="10">
        <v>1805</v>
      </c>
      <c r="I63" s="10">
        <v>7220</v>
      </c>
    </row>
    <row r="64" spans="1:9" x14ac:dyDescent="0.25">
      <c r="A64" s="4" t="s">
        <v>66</v>
      </c>
      <c r="B64" s="5">
        <f t="shared" si="1"/>
        <v>45099</v>
      </c>
      <c r="C64" s="13" t="s">
        <v>164</v>
      </c>
      <c r="D64" t="s">
        <v>141</v>
      </c>
      <c r="E64" t="s">
        <v>144</v>
      </c>
      <c r="F64" t="s">
        <v>149</v>
      </c>
      <c r="G64">
        <v>2</v>
      </c>
      <c r="H64" s="10">
        <v>208</v>
      </c>
      <c r="I64" s="10">
        <v>416</v>
      </c>
    </row>
    <row r="65" spans="1:9" x14ac:dyDescent="0.25">
      <c r="A65" s="4" t="s">
        <v>79</v>
      </c>
      <c r="B65" s="5">
        <f t="shared" si="1"/>
        <v>45080</v>
      </c>
      <c r="C65" s="13" t="s">
        <v>164</v>
      </c>
      <c r="D65" t="s">
        <v>137</v>
      </c>
      <c r="E65" t="s">
        <v>145</v>
      </c>
      <c r="F65" t="s">
        <v>148</v>
      </c>
      <c r="G65">
        <v>4</v>
      </c>
      <c r="H65" s="10">
        <v>2568</v>
      </c>
      <c r="I65" s="10">
        <v>10272</v>
      </c>
    </row>
    <row r="66" spans="1:9" x14ac:dyDescent="0.25">
      <c r="A66" s="4" t="s">
        <v>84</v>
      </c>
      <c r="B66" s="5">
        <f t="shared" ref="B66:B97" si="2">DATE(RIGHT(A66,4), MID(A66,4,2), LEFT(A66,2))</f>
        <v>45082</v>
      </c>
      <c r="C66" s="13" t="s">
        <v>164</v>
      </c>
      <c r="D66" t="s">
        <v>141</v>
      </c>
      <c r="E66" t="s">
        <v>143</v>
      </c>
      <c r="F66" t="s">
        <v>146</v>
      </c>
      <c r="G66">
        <v>1</v>
      </c>
      <c r="H66" s="10">
        <v>2873</v>
      </c>
      <c r="I66" s="10">
        <v>2873</v>
      </c>
    </row>
    <row r="67" spans="1:9" x14ac:dyDescent="0.25">
      <c r="A67" s="4" t="s">
        <v>88</v>
      </c>
      <c r="B67" s="5">
        <f t="shared" si="2"/>
        <v>45104</v>
      </c>
      <c r="C67" s="13" t="s">
        <v>164</v>
      </c>
      <c r="D67" t="s">
        <v>140</v>
      </c>
      <c r="E67" t="s">
        <v>145</v>
      </c>
      <c r="F67" t="s">
        <v>147</v>
      </c>
      <c r="G67">
        <v>3</v>
      </c>
      <c r="H67" s="10">
        <v>1874</v>
      </c>
      <c r="I67" s="10">
        <v>5622</v>
      </c>
    </row>
    <row r="68" spans="1:9" x14ac:dyDescent="0.25">
      <c r="A68" s="4" t="s">
        <v>120</v>
      </c>
      <c r="B68" s="5">
        <f t="shared" si="2"/>
        <v>45106</v>
      </c>
      <c r="C68" s="13" t="s">
        <v>164</v>
      </c>
      <c r="D68" t="s">
        <v>140</v>
      </c>
      <c r="E68" t="s">
        <v>144</v>
      </c>
      <c r="F68" t="s">
        <v>147</v>
      </c>
      <c r="G68">
        <v>1</v>
      </c>
      <c r="H68" s="10">
        <v>1276</v>
      </c>
      <c r="I68" s="10">
        <v>1276</v>
      </c>
    </row>
    <row r="69" spans="1:9" x14ac:dyDescent="0.25">
      <c r="A69" s="4" t="s">
        <v>88</v>
      </c>
      <c r="B69" s="5">
        <f t="shared" si="2"/>
        <v>45104</v>
      </c>
      <c r="C69" s="13" t="s">
        <v>164</v>
      </c>
      <c r="D69" t="s">
        <v>137</v>
      </c>
      <c r="E69" t="s">
        <v>142</v>
      </c>
      <c r="F69" t="s">
        <v>146</v>
      </c>
      <c r="G69">
        <v>4</v>
      </c>
      <c r="H69" s="10">
        <v>618</v>
      </c>
      <c r="I69" s="10">
        <v>2472</v>
      </c>
    </row>
    <row r="70" spans="1:9" x14ac:dyDescent="0.25">
      <c r="A70" s="4" t="s">
        <v>33</v>
      </c>
      <c r="B70" s="5">
        <f t="shared" si="2"/>
        <v>45117</v>
      </c>
      <c r="C70" s="13" t="s">
        <v>165</v>
      </c>
      <c r="D70" t="s">
        <v>138</v>
      </c>
      <c r="E70" t="s">
        <v>143</v>
      </c>
      <c r="F70" t="s">
        <v>149</v>
      </c>
      <c r="G70">
        <v>3</v>
      </c>
      <c r="H70" s="10">
        <v>846</v>
      </c>
      <c r="I70" s="10">
        <v>2538</v>
      </c>
    </row>
    <row r="71" spans="1:9" x14ac:dyDescent="0.25">
      <c r="A71" s="4" t="s">
        <v>36</v>
      </c>
      <c r="B71" s="5">
        <f t="shared" si="2"/>
        <v>45113</v>
      </c>
      <c r="C71" s="13" t="s">
        <v>165</v>
      </c>
      <c r="D71" t="s">
        <v>140</v>
      </c>
      <c r="E71" t="s">
        <v>142</v>
      </c>
      <c r="F71" t="s">
        <v>147</v>
      </c>
      <c r="G71">
        <v>3</v>
      </c>
      <c r="H71" s="10">
        <v>1548</v>
      </c>
      <c r="I71" s="10">
        <v>4644</v>
      </c>
    </row>
    <row r="72" spans="1:9" x14ac:dyDescent="0.25">
      <c r="A72" s="4" t="s">
        <v>39</v>
      </c>
      <c r="B72" s="5">
        <f t="shared" si="2"/>
        <v>45108</v>
      </c>
      <c r="C72" s="13" t="s">
        <v>165</v>
      </c>
      <c r="D72" t="s">
        <v>140</v>
      </c>
      <c r="E72" t="s">
        <v>143</v>
      </c>
      <c r="F72" t="s">
        <v>147</v>
      </c>
      <c r="G72">
        <v>2</v>
      </c>
      <c r="H72" s="10">
        <v>585</v>
      </c>
      <c r="I72" s="10">
        <v>1170</v>
      </c>
    </row>
    <row r="73" spans="1:9" x14ac:dyDescent="0.25">
      <c r="A73" s="4" t="s">
        <v>43</v>
      </c>
      <c r="B73" s="5">
        <f t="shared" si="2"/>
        <v>45116</v>
      </c>
      <c r="C73" s="13" t="s">
        <v>165</v>
      </c>
      <c r="D73" t="s">
        <v>139</v>
      </c>
      <c r="E73" t="s">
        <v>143</v>
      </c>
      <c r="F73" t="s">
        <v>147</v>
      </c>
      <c r="G73">
        <v>5</v>
      </c>
      <c r="H73" s="10">
        <v>2383</v>
      </c>
      <c r="I73" s="10">
        <v>11915</v>
      </c>
    </row>
    <row r="74" spans="1:9" x14ac:dyDescent="0.25">
      <c r="A74" s="4" t="s">
        <v>36</v>
      </c>
      <c r="B74" s="5">
        <f t="shared" si="2"/>
        <v>45113</v>
      </c>
      <c r="C74" s="13" t="s">
        <v>165</v>
      </c>
      <c r="D74" t="s">
        <v>139</v>
      </c>
      <c r="E74" t="s">
        <v>143</v>
      </c>
      <c r="F74" t="s">
        <v>146</v>
      </c>
      <c r="G74">
        <v>5</v>
      </c>
      <c r="H74" s="10">
        <v>249</v>
      </c>
      <c r="I74" s="10">
        <v>1245</v>
      </c>
    </row>
    <row r="75" spans="1:9" x14ac:dyDescent="0.25">
      <c r="A75" s="4" t="s">
        <v>99</v>
      </c>
      <c r="B75" s="5">
        <f t="shared" si="2"/>
        <v>45130</v>
      </c>
      <c r="C75" s="13" t="s">
        <v>165</v>
      </c>
      <c r="D75" t="s">
        <v>138</v>
      </c>
      <c r="E75" t="s">
        <v>144</v>
      </c>
      <c r="F75" t="s">
        <v>148</v>
      </c>
      <c r="G75">
        <v>1</v>
      </c>
      <c r="H75" s="10">
        <v>2820</v>
      </c>
      <c r="I75" s="10">
        <v>2820</v>
      </c>
    </row>
    <row r="76" spans="1:9" x14ac:dyDescent="0.25">
      <c r="A76" s="4" t="s">
        <v>112</v>
      </c>
      <c r="B76" s="5">
        <f t="shared" si="2"/>
        <v>45122</v>
      </c>
      <c r="C76" s="13" t="s">
        <v>165</v>
      </c>
      <c r="D76" t="s">
        <v>141</v>
      </c>
      <c r="E76" t="s">
        <v>145</v>
      </c>
      <c r="F76" t="s">
        <v>149</v>
      </c>
      <c r="G76">
        <v>1</v>
      </c>
      <c r="H76" s="10">
        <v>2922</v>
      </c>
      <c r="I76" s="10">
        <v>2922</v>
      </c>
    </row>
    <row r="77" spans="1:9" x14ac:dyDescent="0.25">
      <c r="A77" s="4" t="s">
        <v>113</v>
      </c>
      <c r="B77" s="5">
        <f t="shared" si="2"/>
        <v>45123</v>
      </c>
      <c r="C77" s="13" t="s">
        <v>165</v>
      </c>
      <c r="D77" t="s">
        <v>137</v>
      </c>
      <c r="E77" t="s">
        <v>143</v>
      </c>
      <c r="F77" t="s">
        <v>149</v>
      </c>
      <c r="G77">
        <v>4</v>
      </c>
      <c r="H77" s="10">
        <v>2044</v>
      </c>
      <c r="I77" s="10">
        <v>8176</v>
      </c>
    </row>
    <row r="78" spans="1:9" x14ac:dyDescent="0.25">
      <c r="A78" s="4" t="s">
        <v>126</v>
      </c>
      <c r="B78" s="5">
        <f t="shared" si="2"/>
        <v>45135</v>
      </c>
      <c r="C78" s="13" t="s">
        <v>165</v>
      </c>
      <c r="D78" t="s">
        <v>138</v>
      </c>
      <c r="E78" t="s">
        <v>143</v>
      </c>
      <c r="F78" t="s">
        <v>149</v>
      </c>
      <c r="G78">
        <v>3</v>
      </c>
      <c r="H78" s="10">
        <v>1823</v>
      </c>
      <c r="I78" s="10">
        <v>5469</v>
      </c>
    </row>
    <row r="79" spans="1:9" x14ac:dyDescent="0.25">
      <c r="A79" s="4" t="s">
        <v>13</v>
      </c>
      <c r="B79" s="5">
        <f t="shared" si="2"/>
        <v>45164</v>
      </c>
      <c r="C79" s="13" t="s">
        <v>160</v>
      </c>
      <c r="D79" t="s">
        <v>140</v>
      </c>
      <c r="E79" t="s">
        <v>142</v>
      </c>
      <c r="F79" t="s">
        <v>147</v>
      </c>
      <c r="G79">
        <v>2</v>
      </c>
      <c r="H79" s="10">
        <v>1653</v>
      </c>
      <c r="I79" s="10">
        <v>3306</v>
      </c>
    </row>
    <row r="80" spans="1:9" x14ac:dyDescent="0.25">
      <c r="A80" s="4" t="s">
        <v>31</v>
      </c>
      <c r="B80" s="5">
        <f t="shared" si="2"/>
        <v>45169</v>
      </c>
      <c r="C80" s="13" t="s">
        <v>160</v>
      </c>
      <c r="D80" t="s">
        <v>138</v>
      </c>
      <c r="E80" t="s">
        <v>143</v>
      </c>
      <c r="F80" t="s">
        <v>146</v>
      </c>
      <c r="G80">
        <v>4</v>
      </c>
      <c r="H80" s="10">
        <v>2158</v>
      </c>
      <c r="I80" s="10">
        <v>8632</v>
      </c>
    </row>
    <row r="81" spans="1:9" x14ac:dyDescent="0.25">
      <c r="A81" s="4" t="s">
        <v>71</v>
      </c>
      <c r="B81" s="5">
        <f t="shared" si="2"/>
        <v>45151</v>
      </c>
      <c r="C81" s="13" t="s">
        <v>160</v>
      </c>
      <c r="D81" t="s">
        <v>139</v>
      </c>
      <c r="E81" t="s">
        <v>144</v>
      </c>
      <c r="F81" t="s">
        <v>148</v>
      </c>
      <c r="G81">
        <v>4</v>
      </c>
      <c r="H81" s="10">
        <v>2344</v>
      </c>
      <c r="I81" s="10">
        <v>9376</v>
      </c>
    </row>
    <row r="82" spans="1:9" x14ac:dyDescent="0.25">
      <c r="A82" s="4" t="s">
        <v>89</v>
      </c>
      <c r="B82" s="5">
        <f t="shared" si="2"/>
        <v>45149</v>
      </c>
      <c r="C82" s="13" t="s">
        <v>160</v>
      </c>
      <c r="D82" t="s">
        <v>141</v>
      </c>
      <c r="E82" t="s">
        <v>144</v>
      </c>
      <c r="F82" t="s">
        <v>148</v>
      </c>
      <c r="G82">
        <v>5</v>
      </c>
      <c r="H82" s="10">
        <v>1519</v>
      </c>
      <c r="I82" s="10">
        <v>7595</v>
      </c>
    </row>
    <row r="83" spans="1:9" x14ac:dyDescent="0.25">
      <c r="A83" s="4" t="s">
        <v>107</v>
      </c>
      <c r="B83" s="5">
        <f t="shared" si="2"/>
        <v>45158</v>
      </c>
      <c r="C83" s="13" t="s">
        <v>160</v>
      </c>
      <c r="D83" t="s">
        <v>138</v>
      </c>
      <c r="E83" t="s">
        <v>143</v>
      </c>
      <c r="F83" t="s">
        <v>148</v>
      </c>
      <c r="G83">
        <v>5</v>
      </c>
      <c r="H83" s="10">
        <v>2823</v>
      </c>
      <c r="I83" s="10">
        <v>14115</v>
      </c>
    </row>
    <row r="84" spans="1:9" x14ac:dyDescent="0.25">
      <c r="A84" s="4" t="s">
        <v>127</v>
      </c>
      <c r="B84" s="5">
        <f t="shared" si="2"/>
        <v>45168</v>
      </c>
      <c r="C84" s="13" t="s">
        <v>160</v>
      </c>
      <c r="D84" t="s">
        <v>139</v>
      </c>
      <c r="E84" t="s">
        <v>145</v>
      </c>
      <c r="F84" t="s">
        <v>146</v>
      </c>
      <c r="G84">
        <v>3</v>
      </c>
      <c r="H84" s="10">
        <v>2013</v>
      </c>
      <c r="I84" s="10">
        <v>6039</v>
      </c>
    </row>
    <row r="85" spans="1:9" x14ac:dyDescent="0.25">
      <c r="A85" s="4" t="s">
        <v>8</v>
      </c>
      <c r="B85" s="19">
        <f t="shared" si="2"/>
        <v>45182</v>
      </c>
      <c r="C85" s="13" t="s">
        <v>156</v>
      </c>
      <c r="D85" t="s">
        <v>138</v>
      </c>
      <c r="E85" t="s">
        <v>143</v>
      </c>
      <c r="F85" t="s">
        <v>147</v>
      </c>
      <c r="G85">
        <v>4</v>
      </c>
      <c r="H85" s="10">
        <v>1758</v>
      </c>
      <c r="I85" s="10">
        <v>7032</v>
      </c>
    </row>
    <row r="86" spans="1:9" x14ac:dyDescent="0.25">
      <c r="A86" s="4" t="s">
        <v>14</v>
      </c>
      <c r="B86" s="5">
        <f t="shared" si="2"/>
        <v>45189</v>
      </c>
      <c r="C86" s="13" t="s">
        <v>156</v>
      </c>
      <c r="D86" t="s">
        <v>138</v>
      </c>
      <c r="E86" t="s">
        <v>142</v>
      </c>
      <c r="F86" t="s">
        <v>147</v>
      </c>
      <c r="G86">
        <v>5</v>
      </c>
      <c r="H86" s="10">
        <v>1407</v>
      </c>
      <c r="I86" s="10">
        <v>7035</v>
      </c>
    </row>
    <row r="87" spans="1:9" x14ac:dyDescent="0.25">
      <c r="A87" s="4" t="s">
        <v>19</v>
      </c>
      <c r="B87" s="5">
        <f t="shared" si="2"/>
        <v>45196</v>
      </c>
      <c r="C87" s="13" t="s">
        <v>156</v>
      </c>
      <c r="D87" t="s">
        <v>137</v>
      </c>
      <c r="E87" t="s">
        <v>142</v>
      </c>
      <c r="F87" t="s">
        <v>148</v>
      </c>
      <c r="G87">
        <v>1</v>
      </c>
      <c r="H87" s="10">
        <v>688</v>
      </c>
      <c r="I87" s="10">
        <v>688</v>
      </c>
    </row>
    <row r="88" spans="1:9" x14ac:dyDescent="0.25">
      <c r="A88" s="4" t="s">
        <v>27</v>
      </c>
      <c r="B88" s="5">
        <f t="shared" si="2"/>
        <v>45193</v>
      </c>
      <c r="C88" s="13" t="s">
        <v>156</v>
      </c>
      <c r="D88" t="s">
        <v>141</v>
      </c>
      <c r="E88" t="s">
        <v>142</v>
      </c>
      <c r="F88" t="s">
        <v>149</v>
      </c>
      <c r="G88">
        <v>4</v>
      </c>
      <c r="H88" s="10">
        <v>2535</v>
      </c>
      <c r="I88" s="10">
        <v>10140</v>
      </c>
    </row>
    <row r="89" spans="1:9" x14ac:dyDescent="0.25">
      <c r="A89" s="4" t="s">
        <v>30</v>
      </c>
      <c r="B89" s="5">
        <f t="shared" si="2"/>
        <v>45191</v>
      </c>
      <c r="C89" s="13" t="s">
        <v>156</v>
      </c>
      <c r="D89" t="s">
        <v>140</v>
      </c>
      <c r="E89" t="s">
        <v>142</v>
      </c>
      <c r="F89" t="s">
        <v>146</v>
      </c>
      <c r="G89">
        <v>2</v>
      </c>
      <c r="H89" s="10">
        <v>2677</v>
      </c>
      <c r="I89" s="10">
        <v>5354</v>
      </c>
    </row>
    <row r="90" spans="1:9" x14ac:dyDescent="0.25">
      <c r="A90" s="4" t="s">
        <v>32</v>
      </c>
      <c r="B90" s="5">
        <f t="shared" si="2"/>
        <v>45177</v>
      </c>
      <c r="C90" s="13" t="s">
        <v>156</v>
      </c>
      <c r="D90" t="s">
        <v>141</v>
      </c>
      <c r="E90" t="s">
        <v>145</v>
      </c>
      <c r="F90" t="s">
        <v>149</v>
      </c>
      <c r="G90">
        <v>5</v>
      </c>
      <c r="H90" s="10">
        <v>1493</v>
      </c>
      <c r="I90" s="10">
        <v>7465</v>
      </c>
    </row>
    <row r="91" spans="1:9" x14ac:dyDescent="0.25">
      <c r="A91" s="4" t="s">
        <v>67</v>
      </c>
      <c r="B91" s="5">
        <f t="shared" si="2"/>
        <v>45170</v>
      </c>
      <c r="C91" s="13" t="s">
        <v>156</v>
      </c>
      <c r="D91" t="s">
        <v>141</v>
      </c>
      <c r="E91" t="s">
        <v>143</v>
      </c>
      <c r="F91" t="s">
        <v>149</v>
      </c>
      <c r="G91">
        <v>5</v>
      </c>
      <c r="H91" s="10">
        <v>2417</v>
      </c>
      <c r="I91" s="10">
        <v>12085</v>
      </c>
    </row>
    <row r="92" spans="1:9" x14ac:dyDescent="0.25">
      <c r="A92" s="4" t="s">
        <v>68</v>
      </c>
      <c r="B92" s="5">
        <f t="shared" si="2"/>
        <v>45174</v>
      </c>
      <c r="C92" s="13" t="s">
        <v>156</v>
      </c>
      <c r="D92" t="s">
        <v>140</v>
      </c>
      <c r="E92" t="s">
        <v>142</v>
      </c>
      <c r="F92" t="s">
        <v>147</v>
      </c>
      <c r="G92">
        <v>1</v>
      </c>
      <c r="H92" s="10">
        <v>2129</v>
      </c>
      <c r="I92" s="10">
        <v>2129</v>
      </c>
    </row>
    <row r="93" spans="1:9" x14ac:dyDescent="0.25">
      <c r="A93" s="4" t="s">
        <v>76</v>
      </c>
      <c r="B93" s="5">
        <f t="shared" si="2"/>
        <v>45175</v>
      </c>
      <c r="C93" s="13" t="s">
        <v>156</v>
      </c>
      <c r="D93" t="s">
        <v>140</v>
      </c>
      <c r="E93" t="s">
        <v>144</v>
      </c>
      <c r="F93" t="s">
        <v>149</v>
      </c>
      <c r="G93">
        <v>4</v>
      </c>
      <c r="H93" s="10">
        <v>2994</v>
      </c>
      <c r="I93" s="10">
        <v>11976</v>
      </c>
    </row>
    <row r="94" spans="1:9" x14ac:dyDescent="0.25">
      <c r="A94" s="4" t="s">
        <v>77</v>
      </c>
      <c r="B94" s="5">
        <f t="shared" si="2"/>
        <v>45181</v>
      </c>
      <c r="C94" s="13" t="s">
        <v>156</v>
      </c>
      <c r="D94" t="s">
        <v>138</v>
      </c>
      <c r="E94" t="s">
        <v>144</v>
      </c>
      <c r="F94" t="s">
        <v>147</v>
      </c>
      <c r="G94">
        <v>4</v>
      </c>
      <c r="H94" s="10">
        <v>2810</v>
      </c>
      <c r="I94" s="10">
        <v>11240</v>
      </c>
    </row>
    <row r="95" spans="1:9" x14ac:dyDescent="0.25">
      <c r="A95" s="4" t="s">
        <v>81</v>
      </c>
      <c r="B95" s="5">
        <f t="shared" si="2"/>
        <v>45171</v>
      </c>
      <c r="C95" s="13" t="s">
        <v>156</v>
      </c>
      <c r="D95" t="s">
        <v>138</v>
      </c>
      <c r="E95" t="s">
        <v>142</v>
      </c>
      <c r="F95" t="s">
        <v>147</v>
      </c>
      <c r="G95">
        <v>4</v>
      </c>
      <c r="H95" s="10">
        <v>2584</v>
      </c>
      <c r="I95" s="10">
        <v>10336</v>
      </c>
    </row>
    <row r="96" spans="1:9" x14ac:dyDescent="0.25">
      <c r="A96" s="4" t="s">
        <v>94</v>
      </c>
      <c r="B96" s="5">
        <f t="shared" si="2"/>
        <v>45190</v>
      </c>
      <c r="C96" s="13" t="s">
        <v>156</v>
      </c>
      <c r="D96" t="s">
        <v>139</v>
      </c>
      <c r="E96" t="s">
        <v>145</v>
      </c>
      <c r="F96" t="s">
        <v>146</v>
      </c>
      <c r="G96">
        <v>4</v>
      </c>
      <c r="H96" s="10">
        <v>2256</v>
      </c>
      <c r="I96" s="10">
        <v>9024</v>
      </c>
    </row>
    <row r="97" spans="1:9" x14ac:dyDescent="0.25">
      <c r="A97" s="4" t="s">
        <v>111</v>
      </c>
      <c r="B97" s="5">
        <f t="shared" si="2"/>
        <v>45172</v>
      </c>
      <c r="C97" s="13" t="s">
        <v>156</v>
      </c>
      <c r="D97" t="s">
        <v>139</v>
      </c>
      <c r="E97" t="s">
        <v>145</v>
      </c>
      <c r="F97" t="s">
        <v>147</v>
      </c>
      <c r="G97">
        <v>4</v>
      </c>
      <c r="H97" s="10">
        <v>2463</v>
      </c>
      <c r="I97" s="10">
        <v>9852</v>
      </c>
    </row>
    <row r="98" spans="1:9" x14ac:dyDescent="0.25">
      <c r="A98" s="4" t="s">
        <v>125</v>
      </c>
      <c r="B98" s="5">
        <f t="shared" ref="B98:B129" si="3">DATE(RIGHT(A98,4), MID(A98,4,2), LEFT(A98,2))</f>
        <v>45185</v>
      </c>
      <c r="C98" s="13" t="s">
        <v>156</v>
      </c>
      <c r="D98" t="s">
        <v>137</v>
      </c>
      <c r="E98" t="s">
        <v>143</v>
      </c>
      <c r="F98" t="s">
        <v>148</v>
      </c>
      <c r="G98">
        <v>5</v>
      </c>
      <c r="H98" s="10">
        <v>2106</v>
      </c>
      <c r="I98" s="10">
        <v>10530</v>
      </c>
    </row>
    <row r="99" spans="1:9" x14ac:dyDescent="0.25">
      <c r="A99" s="4" t="s">
        <v>131</v>
      </c>
      <c r="B99" s="5">
        <f t="shared" si="3"/>
        <v>45186</v>
      </c>
      <c r="C99" s="13" t="s">
        <v>156</v>
      </c>
      <c r="D99" t="s">
        <v>138</v>
      </c>
      <c r="E99" t="s">
        <v>145</v>
      </c>
      <c r="F99" t="s">
        <v>147</v>
      </c>
      <c r="G99">
        <v>3</v>
      </c>
      <c r="H99" s="10">
        <v>150</v>
      </c>
      <c r="I99" s="10">
        <v>450</v>
      </c>
    </row>
    <row r="100" spans="1:9" x14ac:dyDescent="0.25">
      <c r="A100" s="4" t="s">
        <v>60</v>
      </c>
      <c r="B100" s="5">
        <f t="shared" si="3"/>
        <v>45214</v>
      </c>
      <c r="C100" s="13" t="s">
        <v>166</v>
      </c>
      <c r="D100" t="s">
        <v>137</v>
      </c>
      <c r="E100" t="s">
        <v>144</v>
      </c>
      <c r="F100" t="s">
        <v>146</v>
      </c>
      <c r="G100">
        <v>3</v>
      </c>
      <c r="H100" s="10">
        <v>2802</v>
      </c>
      <c r="I100" s="10">
        <v>8406</v>
      </c>
    </row>
    <row r="101" spans="1:9" x14ac:dyDescent="0.25">
      <c r="A101" s="4" t="s">
        <v>63</v>
      </c>
      <c r="B101" s="5">
        <f t="shared" si="3"/>
        <v>45224</v>
      </c>
      <c r="C101" s="13" t="s">
        <v>166</v>
      </c>
      <c r="D101" t="s">
        <v>140</v>
      </c>
      <c r="E101" t="s">
        <v>145</v>
      </c>
      <c r="F101" t="s">
        <v>149</v>
      </c>
      <c r="G101">
        <v>2</v>
      </c>
      <c r="H101" s="10">
        <v>2317</v>
      </c>
      <c r="I101" s="10">
        <v>4634</v>
      </c>
    </row>
    <row r="102" spans="1:9" x14ac:dyDescent="0.25">
      <c r="A102" s="4" t="s">
        <v>69</v>
      </c>
      <c r="B102" s="5">
        <f t="shared" si="3"/>
        <v>45200</v>
      </c>
      <c r="C102" s="13" t="s">
        <v>166</v>
      </c>
      <c r="D102" t="s">
        <v>139</v>
      </c>
      <c r="E102" t="s">
        <v>143</v>
      </c>
      <c r="F102" t="s">
        <v>147</v>
      </c>
      <c r="G102">
        <v>3</v>
      </c>
      <c r="H102" s="10">
        <v>2689</v>
      </c>
      <c r="I102" s="10">
        <v>8067</v>
      </c>
    </row>
    <row r="103" spans="1:9" x14ac:dyDescent="0.25">
      <c r="A103" s="4" t="s">
        <v>78</v>
      </c>
      <c r="B103" s="5">
        <f t="shared" si="3"/>
        <v>45212</v>
      </c>
      <c r="C103" s="13" t="s">
        <v>166</v>
      </c>
      <c r="D103" t="s">
        <v>137</v>
      </c>
      <c r="E103" t="s">
        <v>144</v>
      </c>
      <c r="F103" t="s">
        <v>147</v>
      </c>
      <c r="G103">
        <v>1</v>
      </c>
      <c r="H103" s="10">
        <v>2393</v>
      </c>
      <c r="I103" s="10">
        <v>2393</v>
      </c>
    </row>
    <row r="104" spans="1:9" x14ac:dyDescent="0.25">
      <c r="A104" s="4" t="s">
        <v>97</v>
      </c>
      <c r="B104" s="5">
        <f t="shared" si="3"/>
        <v>45222</v>
      </c>
      <c r="C104" s="13" t="s">
        <v>166</v>
      </c>
      <c r="D104" t="s">
        <v>140</v>
      </c>
      <c r="E104" t="s">
        <v>144</v>
      </c>
      <c r="F104" t="s">
        <v>147</v>
      </c>
      <c r="G104">
        <v>5</v>
      </c>
      <c r="H104" s="10">
        <v>2422</v>
      </c>
      <c r="I104" s="10">
        <v>12110</v>
      </c>
    </row>
    <row r="105" spans="1:9" x14ac:dyDescent="0.25">
      <c r="A105" s="4" t="s">
        <v>104</v>
      </c>
      <c r="B105" s="5">
        <f t="shared" si="3"/>
        <v>45208</v>
      </c>
      <c r="C105" s="13" t="s">
        <v>166</v>
      </c>
      <c r="D105" t="s">
        <v>140</v>
      </c>
      <c r="E105" t="s">
        <v>142</v>
      </c>
      <c r="F105" t="s">
        <v>148</v>
      </c>
      <c r="G105">
        <v>5</v>
      </c>
      <c r="H105" s="10">
        <v>518</v>
      </c>
      <c r="I105" s="10">
        <v>2590</v>
      </c>
    </row>
    <row r="106" spans="1:9" x14ac:dyDescent="0.25">
      <c r="A106" s="4" t="s">
        <v>105</v>
      </c>
      <c r="B106" s="5">
        <f t="shared" si="3"/>
        <v>45219</v>
      </c>
      <c r="C106" s="13" t="s">
        <v>166</v>
      </c>
      <c r="D106" t="s">
        <v>137</v>
      </c>
      <c r="E106" t="s">
        <v>143</v>
      </c>
      <c r="F106" t="s">
        <v>148</v>
      </c>
      <c r="G106">
        <v>2</v>
      </c>
      <c r="H106" s="10">
        <v>371</v>
      </c>
      <c r="I106" s="10">
        <v>742</v>
      </c>
    </row>
    <row r="107" spans="1:9" x14ac:dyDescent="0.25">
      <c r="A107" s="4" t="s">
        <v>115</v>
      </c>
      <c r="B107" s="5">
        <f t="shared" si="3"/>
        <v>45226</v>
      </c>
      <c r="C107" s="13" t="s">
        <v>166</v>
      </c>
      <c r="D107" t="s">
        <v>137</v>
      </c>
      <c r="E107" t="s">
        <v>145</v>
      </c>
      <c r="F107" t="s">
        <v>149</v>
      </c>
      <c r="G107">
        <v>3</v>
      </c>
      <c r="H107" s="10">
        <v>1071</v>
      </c>
      <c r="I107" s="10">
        <v>3213</v>
      </c>
    </row>
    <row r="108" spans="1:9" x14ac:dyDescent="0.25">
      <c r="A108" s="4" t="s">
        <v>78</v>
      </c>
      <c r="B108" s="5">
        <f t="shared" si="3"/>
        <v>45212</v>
      </c>
      <c r="C108" s="13" t="s">
        <v>166</v>
      </c>
      <c r="D108" t="s">
        <v>137</v>
      </c>
      <c r="E108" t="s">
        <v>142</v>
      </c>
      <c r="F108" t="s">
        <v>147</v>
      </c>
      <c r="G108">
        <v>2</v>
      </c>
      <c r="H108" s="10">
        <v>836</v>
      </c>
      <c r="I108" s="10">
        <v>1672</v>
      </c>
    </row>
    <row r="109" spans="1:9" x14ac:dyDescent="0.25">
      <c r="A109" s="4" t="s">
        <v>136</v>
      </c>
      <c r="B109" s="5">
        <f t="shared" si="3"/>
        <v>45218</v>
      </c>
      <c r="C109" s="13" t="s">
        <v>166</v>
      </c>
      <c r="D109" t="s">
        <v>139</v>
      </c>
      <c r="E109" t="s">
        <v>143</v>
      </c>
      <c r="F109" t="s">
        <v>147</v>
      </c>
      <c r="G109">
        <v>2</v>
      </c>
      <c r="H109" s="10">
        <v>2324</v>
      </c>
      <c r="I109" s="10">
        <v>4648</v>
      </c>
    </row>
    <row r="110" spans="1:9" x14ac:dyDescent="0.25">
      <c r="A110" s="4" t="s">
        <v>10</v>
      </c>
      <c r="B110" s="5">
        <f t="shared" si="3"/>
        <v>45254</v>
      </c>
      <c r="C110" s="13" t="s">
        <v>158</v>
      </c>
      <c r="D110" t="s">
        <v>138</v>
      </c>
      <c r="E110" t="s">
        <v>142</v>
      </c>
      <c r="F110" t="s">
        <v>147</v>
      </c>
      <c r="G110">
        <v>5</v>
      </c>
      <c r="H110" s="10">
        <v>813</v>
      </c>
      <c r="I110" s="10">
        <v>4065</v>
      </c>
    </row>
    <row r="111" spans="1:9" x14ac:dyDescent="0.25">
      <c r="A111" s="4" t="s">
        <v>16</v>
      </c>
      <c r="B111" s="5">
        <f t="shared" si="3"/>
        <v>45234</v>
      </c>
      <c r="C111" s="13" t="s">
        <v>158</v>
      </c>
      <c r="D111" t="s">
        <v>139</v>
      </c>
      <c r="E111" t="s">
        <v>145</v>
      </c>
      <c r="F111" t="s">
        <v>147</v>
      </c>
      <c r="G111">
        <v>1</v>
      </c>
      <c r="H111" s="10">
        <v>320</v>
      </c>
      <c r="I111" s="10">
        <v>320</v>
      </c>
    </row>
    <row r="112" spans="1:9" x14ac:dyDescent="0.25">
      <c r="A112" s="4" t="s">
        <v>35</v>
      </c>
      <c r="B112" s="5">
        <f t="shared" si="3"/>
        <v>45258</v>
      </c>
      <c r="C112" s="13" t="s">
        <v>158</v>
      </c>
      <c r="D112" t="s">
        <v>140</v>
      </c>
      <c r="E112" t="s">
        <v>143</v>
      </c>
      <c r="F112" t="s">
        <v>147</v>
      </c>
      <c r="G112">
        <v>2</v>
      </c>
      <c r="H112" s="10">
        <v>1446</v>
      </c>
      <c r="I112" s="10">
        <v>2892</v>
      </c>
    </row>
    <row r="113" spans="1:9" x14ac:dyDescent="0.25">
      <c r="A113" s="4" t="s">
        <v>41</v>
      </c>
      <c r="B113" s="5">
        <f t="shared" si="3"/>
        <v>45248</v>
      </c>
      <c r="C113" s="13" t="s">
        <v>158</v>
      </c>
      <c r="D113" t="s">
        <v>140</v>
      </c>
      <c r="E113" t="s">
        <v>142</v>
      </c>
      <c r="F113" t="s">
        <v>147</v>
      </c>
      <c r="G113">
        <v>3</v>
      </c>
      <c r="H113" s="10">
        <v>1563</v>
      </c>
      <c r="I113" s="10">
        <v>4689</v>
      </c>
    </row>
    <row r="114" spans="1:9" x14ac:dyDescent="0.25">
      <c r="A114" s="4" t="s">
        <v>54</v>
      </c>
      <c r="B114" s="5">
        <f t="shared" si="3"/>
        <v>45233</v>
      </c>
      <c r="C114" s="13" t="s">
        <v>158</v>
      </c>
      <c r="D114" t="s">
        <v>137</v>
      </c>
      <c r="E114" t="s">
        <v>142</v>
      </c>
      <c r="F114" t="s">
        <v>149</v>
      </c>
      <c r="G114">
        <v>3</v>
      </c>
      <c r="H114" s="10">
        <v>1779</v>
      </c>
      <c r="I114" s="10">
        <v>5337</v>
      </c>
    </row>
    <row r="115" spans="1:9" x14ac:dyDescent="0.25">
      <c r="A115" s="4" t="s">
        <v>74</v>
      </c>
      <c r="B115" s="5">
        <f t="shared" si="3"/>
        <v>45257</v>
      </c>
      <c r="C115" s="13" t="s">
        <v>158</v>
      </c>
      <c r="D115" t="s">
        <v>140</v>
      </c>
      <c r="E115" t="s">
        <v>145</v>
      </c>
      <c r="F115" t="s">
        <v>148</v>
      </c>
      <c r="G115">
        <v>3</v>
      </c>
      <c r="H115" s="10">
        <v>2974</v>
      </c>
      <c r="I115" s="10">
        <v>8922</v>
      </c>
    </row>
    <row r="116" spans="1:9" x14ac:dyDescent="0.25">
      <c r="A116" s="4" t="s">
        <v>75</v>
      </c>
      <c r="B116" s="5">
        <f t="shared" si="3"/>
        <v>45235</v>
      </c>
      <c r="C116" s="13" t="s">
        <v>158</v>
      </c>
      <c r="D116" t="s">
        <v>138</v>
      </c>
      <c r="E116" t="s">
        <v>142</v>
      </c>
      <c r="F116" t="s">
        <v>146</v>
      </c>
      <c r="G116">
        <v>2</v>
      </c>
      <c r="H116" s="10">
        <v>1916</v>
      </c>
      <c r="I116" s="10">
        <v>3832</v>
      </c>
    </row>
    <row r="117" spans="1:9" x14ac:dyDescent="0.25">
      <c r="A117" s="4" t="s">
        <v>54</v>
      </c>
      <c r="B117" s="5">
        <f t="shared" si="3"/>
        <v>45233</v>
      </c>
      <c r="C117" s="13" t="s">
        <v>158</v>
      </c>
      <c r="D117" t="s">
        <v>137</v>
      </c>
      <c r="E117" t="s">
        <v>142</v>
      </c>
      <c r="F117" t="s">
        <v>148</v>
      </c>
      <c r="G117">
        <v>1</v>
      </c>
      <c r="H117" s="10">
        <v>2659</v>
      </c>
      <c r="I117" s="10">
        <v>2659</v>
      </c>
    </row>
    <row r="118" spans="1:9" x14ac:dyDescent="0.25">
      <c r="A118" s="4" t="s">
        <v>100</v>
      </c>
      <c r="B118" s="5">
        <f t="shared" si="3"/>
        <v>45256</v>
      </c>
      <c r="C118" s="13" t="s">
        <v>158</v>
      </c>
      <c r="D118" t="s">
        <v>139</v>
      </c>
      <c r="E118" t="s">
        <v>142</v>
      </c>
      <c r="F118" t="s">
        <v>147</v>
      </c>
      <c r="G118">
        <v>4</v>
      </c>
      <c r="H118" s="10">
        <v>2678</v>
      </c>
      <c r="I118" s="10">
        <v>10712</v>
      </c>
    </row>
    <row r="119" spans="1:9" x14ac:dyDescent="0.25">
      <c r="A119" s="4" t="s">
        <v>110</v>
      </c>
      <c r="B119" s="5">
        <f t="shared" si="3"/>
        <v>45232</v>
      </c>
      <c r="C119" s="13" t="s">
        <v>158</v>
      </c>
      <c r="D119" t="s">
        <v>140</v>
      </c>
      <c r="E119" t="s">
        <v>142</v>
      </c>
      <c r="F119" t="s">
        <v>148</v>
      </c>
      <c r="G119">
        <v>5</v>
      </c>
      <c r="H119" s="10">
        <v>249</v>
      </c>
      <c r="I119" s="10">
        <v>1245</v>
      </c>
    </row>
    <row r="120" spans="1:9" x14ac:dyDescent="0.25">
      <c r="A120" s="4" t="s">
        <v>123</v>
      </c>
      <c r="B120" s="5">
        <f t="shared" si="3"/>
        <v>45243</v>
      </c>
      <c r="C120" s="13" t="s">
        <v>158</v>
      </c>
      <c r="D120" t="s">
        <v>138</v>
      </c>
      <c r="E120" t="s">
        <v>144</v>
      </c>
      <c r="F120" t="s">
        <v>148</v>
      </c>
      <c r="G120">
        <v>5</v>
      </c>
      <c r="H120" s="10">
        <v>1518</v>
      </c>
      <c r="I120" s="10">
        <v>7590</v>
      </c>
    </row>
    <row r="121" spans="1:9" x14ac:dyDescent="0.25">
      <c r="A121" s="4" t="s">
        <v>132</v>
      </c>
      <c r="B121" s="5">
        <f t="shared" si="3"/>
        <v>45242</v>
      </c>
      <c r="C121" s="13" t="s">
        <v>158</v>
      </c>
      <c r="D121" t="s">
        <v>140</v>
      </c>
      <c r="E121" t="s">
        <v>143</v>
      </c>
      <c r="F121" t="s">
        <v>146</v>
      </c>
      <c r="G121">
        <v>1</v>
      </c>
      <c r="H121" s="10">
        <v>1231</v>
      </c>
      <c r="I121" s="10">
        <v>1231</v>
      </c>
    </row>
    <row r="122" spans="1:9" x14ac:dyDescent="0.25">
      <c r="A122" s="4" t="s">
        <v>11</v>
      </c>
      <c r="B122" s="5">
        <f t="shared" si="3"/>
        <v>45269</v>
      </c>
      <c r="C122" s="13" t="s">
        <v>159</v>
      </c>
      <c r="D122" t="s">
        <v>140</v>
      </c>
      <c r="E122" t="s">
        <v>143</v>
      </c>
      <c r="F122" t="s">
        <v>147</v>
      </c>
      <c r="G122">
        <v>2</v>
      </c>
      <c r="H122" s="10">
        <v>2430</v>
      </c>
      <c r="I122" s="10">
        <v>4860</v>
      </c>
    </row>
    <row r="123" spans="1:9" x14ac:dyDescent="0.25">
      <c r="A123" s="4" t="s">
        <v>15</v>
      </c>
      <c r="B123" s="5">
        <f t="shared" si="3"/>
        <v>45272</v>
      </c>
      <c r="C123" s="13" t="s">
        <v>159</v>
      </c>
      <c r="D123" t="s">
        <v>141</v>
      </c>
      <c r="E123" t="s">
        <v>142</v>
      </c>
      <c r="F123" t="s">
        <v>149</v>
      </c>
      <c r="G123">
        <v>1</v>
      </c>
      <c r="H123" s="10">
        <v>865</v>
      </c>
      <c r="I123" s="10">
        <v>865</v>
      </c>
    </row>
    <row r="124" spans="1:9" x14ac:dyDescent="0.25">
      <c r="A124" s="4" t="s">
        <v>18</v>
      </c>
      <c r="B124" s="5">
        <f t="shared" si="3"/>
        <v>45283</v>
      </c>
      <c r="C124" s="13" t="s">
        <v>159</v>
      </c>
      <c r="D124" t="s">
        <v>139</v>
      </c>
      <c r="E124" t="s">
        <v>145</v>
      </c>
      <c r="F124" t="s">
        <v>149</v>
      </c>
      <c r="G124">
        <v>2</v>
      </c>
      <c r="H124" s="10">
        <v>1489</v>
      </c>
      <c r="I124" s="10">
        <v>2978</v>
      </c>
    </row>
    <row r="125" spans="1:9" x14ac:dyDescent="0.25">
      <c r="A125" s="4" t="s">
        <v>26</v>
      </c>
      <c r="B125" s="5">
        <f t="shared" si="3"/>
        <v>45268</v>
      </c>
      <c r="C125" s="13" t="s">
        <v>159</v>
      </c>
      <c r="D125" t="s">
        <v>139</v>
      </c>
      <c r="E125" t="s">
        <v>145</v>
      </c>
      <c r="F125" t="s">
        <v>146</v>
      </c>
      <c r="G125">
        <v>1</v>
      </c>
      <c r="H125" s="10">
        <v>1887</v>
      </c>
      <c r="I125" s="10">
        <v>1887</v>
      </c>
    </row>
    <row r="126" spans="1:9" x14ac:dyDescent="0.25">
      <c r="A126" s="4" t="s">
        <v>28</v>
      </c>
      <c r="B126" s="5">
        <f t="shared" si="3"/>
        <v>45266</v>
      </c>
      <c r="C126" s="13" t="s">
        <v>159</v>
      </c>
      <c r="D126" t="s">
        <v>137</v>
      </c>
      <c r="E126" t="s">
        <v>142</v>
      </c>
      <c r="F126" t="s">
        <v>146</v>
      </c>
      <c r="G126">
        <v>5</v>
      </c>
      <c r="H126" s="10">
        <v>2684</v>
      </c>
      <c r="I126" s="10">
        <v>13420</v>
      </c>
    </row>
    <row r="127" spans="1:9" x14ac:dyDescent="0.25">
      <c r="A127" s="4" t="s">
        <v>29</v>
      </c>
      <c r="B127" s="5">
        <f t="shared" si="3"/>
        <v>45262</v>
      </c>
      <c r="C127" s="13" t="s">
        <v>159</v>
      </c>
      <c r="D127" t="s">
        <v>141</v>
      </c>
      <c r="E127" t="s">
        <v>143</v>
      </c>
      <c r="F127" t="s">
        <v>149</v>
      </c>
      <c r="G127">
        <v>3</v>
      </c>
      <c r="H127" s="10">
        <v>444</v>
      </c>
      <c r="I127" s="10">
        <v>1332</v>
      </c>
    </row>
    <row r="128" spans="1:9" x14ac:dyDescent="0.25">
      <c r="A128" s="4" t="s">
        <v>15</v>
      </c>
      <c r="B128" s="5">
        <f t="shared" si="3"/>
        <v>45272</v>
      </c>
      <c r="C128" s="13" t="s">
        <v>159</v>
      </c>
      <c r="D128" t="s">
        <v>140</v>
      </c>
      <c r="E128" t="s">
        <v>144</v>
      </c>
      <c r="F128" t="s">
        <v>146</v>
      </c>
      <c r="G128">
        <v>4</v>
      </c>
      <c r="H128" s="10">
        <v>534</v>
      </c>
      <c r="I128" s="10">
        <v>2136</v>
      </c>
    </row>
    <row r="129" spans="1:9" x14ac:dyDescent="0.25">
      <c r="A129" s="4" t="s">
        <v>57</v>
      </c>
      <c r="B129" s="5">
        <f t="shared" si="3"/>
        <v>45271</v>
      </c>
      <c r="C129" s="13" t="s">
        <v>159</v>
      </c>
      <c r="D129" t="s">
        <v>137</v>
      </c>
      <c r="E129" t="s">
        <v>142</v>
      </c>
      <c r="F129" t="s">
        <v>146</v>
      </c>
      <c r="G129">
        <v>3</v>
      </c>
      <c r="H129" s="10">
        <v>2688</v>
      </c>
      <c r="I129" s="10">
        <v>8064</v>
      </c>
    </row>
    <row r="130" spans="1:9" x14ac:dyDescent="0.25">
      <c r="A130" s="4" t="s">
        <v>15</v>
      </c>
      <c r="B130" s="5">
        <f t="shared" ref="B130:B151" si="4">DATE(RIGHT(A130,4), MID(A130,4,2), LEFT(A130,2))</f>
        <v>45272</v>
      </c>
      <c r="C130" s="13" t="s">
        <v>159</v>
      </c>
      <c r="D130" t="s">
        <v>139</v>
      </c>
      <c r="E130" t="s">
        <v>145</v>
      </c>
      <c r="F130" t="s">
        <v>147</v>
      </c>
      <c r="G130">
        <v>3</v>
      </c>
      <c r="H130" s="10">
        <v>1287</v>
      </c>
      <c r="I130" s="10">
        <v>3861</v>
      </c>
    </row>
    <row r="131" spans="1:9" x14ac:dyDescent="0.25">
      <c r="A131" s="4" t="s">
        <v>26</v>
      </c>
      <c r="B131" s="5">
        <f t="shared" si="4"/>
        <v>45268</v>
      </c>
      <c r="C131" s="13" t="s">
        <v>159</v>
      </c>
      <c r="D131" t="s">
        <v>141</v>
      </c>
      <c r="E131" t="s">
        <v>144</v>
      </c>
      <c r="F131" t="s">
        <v>147</v>
      </c>
      <c r="G131">
        <v>2</v>
      </c>
      <c r="H131" s="10">
        <v>974</v>
      </c>
      <c r="I131" s="10">
        <v>1948</v>
      </c>
    </row>
    <row r="132" spans="1:9" x14ac:dyDescent="0.25">
      <c r="A132" s="4" t="s">
        <v>64</v>
      </c>
      <c r="B132" s="5">
        <f t="shared" si="4"/>
        <v>45289</v>
      </c>
      <c r="C132" s="13" t="s">
        <v>159</v>
      </c>
      <c r="D132" t="s">
        <v>141</v>
      </c>
      <c r="E132" t="s">
        <v>145</v>
      </c>
      <c r="F132" t="s">
        <v>147</v>
      </c>
      <c r="G132">
        <v>1</v>
      </c>
      <c r="H132" s="10">
        <v>2031</v>
      </c>
      <c r="I132" s="10">
        <v>2031</v>
      </c>
    </row>
    <row r="133" spans="1:9" x14ac:dyDescent="0.25">
      <c r="A133" s="4" t="s">
        <v>64</v>
      </c>
      <c r="B133" s="5">
        <f t="shared" si="4"/>
        <v>45289</v>
      </c>
      <c r="C133" s="13" t="s">
        <v>159</v>
      </c>
      <c r="D133" t="s">
        <v>141</v>
      </c>
      <c r="E133" t="s">
        <v>142</v>
      </c>
      <c r="F133" t="s">
        <v>149</v>
      </c>
      <c r="G133">
        <v>3</v>
      </c>
      <c r="H133" s="10">
        <v>2010</v>
      </c>
      <c r="I133" s="10">
        <v>6030</v>
      </c>
    </row>
    <row r="134" spans="1:9" x14ac:dyDescent="0.25">
      <c r="A134" s="4" t="s">
        <v>11</v>
      </c>
      <c r="B134" s="5">
        <f t="shared" si="4"/>
        <v>45269</v>
      </c>
      <c r="C134" s="13" t="s">
        <v>159</v>
      </c>
      <c r="D134" t="s">
        <v>141</v>
      </c>
      <c r="E134" t="s">
        <v>143</v>
      </c>
      <c r="F134" t="s">
        <v>149</v>
      </c>
      <c r="G134">
        <v>3</v>
      </c>
      <c r="H134" s="10">
        <v>398</v>
      </c>
      <c r="I134" s="10">
        <v>1194</v>
      </c>
    </row>
    <row r="135" spans="1:9" x14ac:dyDescent="0.25">
      <c r="A135" s="4" t="s">
        <v>92</v>
      </c>
      <c r="B135" s="5">
        <f t="shared" si="4"/>
        <v>45288</v>
      </c>
      <c r="C135" s="13" t="s">
        <v>159</v>
      </c>
      <c r="D135" t="s">
        <v>138</v>
      </c>
      <c r="E135" t="s">
        <v>142</v>
      </c>
      <c r="F135" t="s">
        <v>147</v>
      </c>
      <c r="G135">
        <v>2</v>
      </c>
      <c r="H135" s="10">
        <v>985</v>
      </c>
      <c r="I135" s="10">
        <v>1970</v>
      </c>
    </row>
    <row r="136" spans="1:9" x14ac:dyDescent="0.25">
      <c r="A136" s="4" t="s">
        <v>95</v>
      </c>
      <c r="B136" s="5">
        <f t="shared" si="4"/>
        <v>45274</v>
      </c>
      <c r="C136" s="13" t="s">
        <v>159</v>
      </c>
      <c r="D136" t="s">
        <v>139</v>
      </c>
      <c r="E136" t="s">
        <v>145</v>
      </c>
      <c r="F136" t="s">
        <v>147</v>
      </c>
      <c r="G136">
        <v>4</v>
      </c>
      <c r="H136" s="10">
        <v>2196</v>
      </c>
      <c r="I136" s="10">
        <v>8784</v>
      </c>
    </row>
    <row r="137" spans="1:9" x14ac:dyDescent="0.25">
      <c r="A137" s="4" t="s">
        <v>96</v>
      </c>
      <c r="B137" s="5">
        <f t="shared" si="4"/>
        <v>45261</v>
      </c>
      <c r="C137" s="13" t="s">
        <v>159</v>
      </c>
      <c r="D137" t="s">
        <v>138</v>
      </c>
      <c r="E137" t="s">
        <v>142</v>
      </c>
      <c r="F137" t="s">
        <v>149</v>
      </c>
      <c r="G137">
        <v>1</v>
      </c>
      <c r="H137" s="10">
        <v>128</v>
      </c>
      <c r="I137" s="10">
        <v>128</v>
      </c>
    </row>
    <row r="138" spans="1:9" x14ac:dyDescent="0.25">
      <c r="A138" s="4" t="s">
        <v>28</v>
      </c>
      <c r="B138" s="5">
        <f t="shared" si="4"/>
        <v>45266</v>
      </c>
      <c r="C138" s="13" t="s">
        <v>159</v>
      </c>
      <c r="D138" t="s">
        <v>141</v>
      </c>
      <c r="E138" t="s">
        <v>144</v>
      </c>
      <c r="F138" t="s">
        <v>148</v>
      </c>
      <c r="G138">
        <v>4</v>
      </c>
      <c r="H138" s="10">
        <v>2791</v>
      </c>
      <c r="I138" s="10">
        <v>11164</v>
      </c>
    </row>
    <row r="139" spans="1:9" x14ac:dyDescent="0.25">
      <c r="A139" s="4" t="s">
        <v>7</v>
      </c>
      <c r="B139" s="5">
        <f t="shared" si="4"/>
        <v>45054</v>
      </c>
      <c r="C139" s="13" t="s">
        <v>155</v>
      </c>
      <c r="D139" t="s">
        <v>137</v>
      </c>
      <c r="E139" t="s">
        <v>142</v>
      </c>
      <c r="F139" t="s">
        <v>146</v>
      </c>
      <c r="G139">
        <v>2</v>
      </c>
      <c r="H139" s="10">
        <v>2788</v>
      </c>
      <c r="I139" s="10">
        <v>5576</v>
      </c>
    </row>
    <row r="140" spans="1:9" x14ac:dyDescent="0.25">
      <c r="A140" s="4" t="s">
        <v>17</v>
      </c>
      <c r="B140" s="5">
        <f t="shared" si="4"/>
        <v>45057</v>
      </c>
      <c r="C140" s="13" t="s">
        <v>155</v>
      </c>
      <c r="D140" t="s">
        <v>139</v>
      </c>
      <c r="E140" t="s">
        <v>142</v>
      </c>
      <c r="F140" t="s">
        <v>146</v>
      </c>
      <c r="G140">
        <v>5</v>
      </c>
      <c r="H140" s="10">
        <v>1556</v>
      </c>
      <c r="I140" s="10">
        <v>7780</v>
      </c>
    </row>
    <row r="141" spans="1:9" x14ac:dyDescent="0.25">
      <c r="A141" s="4" t="s">
        <v>34</v>
      </c>
      <c r="B141" s="5">
        <f t="shared" si="4"/>
        <v>45063</v>
      </c>
      <c r="C141" s="13" t="s">
        <v>155</v>
      </c>
      <c r="D141" t="s">
        <v>141</v>
      </c>
      <c r="E141" t="s">
        <v>142</v>
      </c>
      <c r="F141" t="s">
        <v>148</v>
      </c>
      <c r="G141">
        <v>1</v>
      </c>
      <c r="H141" s="10">
        <v>2782</v>
      </c>
      <c r="I141" s="10">
        <v>2782</v>
      </c>
    </row>
    <row r="142" spans="1:9" x14ac:dyDescent="0.25">
      <c r="A142" s="4" t="s">
        <v>38</v>
      </c>
      <c r="B142" s="5">
        <f t="shared" si="4"/>
        <v>45074</v>
      </c>
      <c r="C142" s="13" t="s">
        <v>155</v>
      </c>
      <c r="D142" t="s">
        <v>141</v>
      </c>
      <c r="E142" t="s">
        <v>145</v>
      </c>
      <c r="F142" t="s">
        <v>148</v>
      </c>
      <c r="G142">
        <v>3</v>
      </c>
      <c r="H142" s="10">
        <v>638</v>
      </c>
      <c r="I142" s="10">
        <v>1914</v>
      </c>
    </row>
    <row r="143" spans="1:9" x14ac:dyDescent="0.25">
      <c r="A143" s="4" t="s">
        <v>38</v>
      </c>
      <c r="B143" s="5">
        <f t="shared" si="4"/>
        <v>45074</v>
      </c>
      <c r="C143" s="13" t="s">
        <v>155</v>
      </c>
      <c r="D143" t="s">
        <v>137</v>
      </c>
      <c r="E143" t="s">
        <v>145</v>
      </c>
      <c r="F143" t="s">
        <v>149</v>
      </c>
      <c r="G143">
        <v>5</v>
      </c>
      <c r="H143" s="10">
        <v>1044</v>
      </c>
      <c r="I143" s="10">
        <v>5220</v>
      </c>
    </row>
    <row r="144" spans="1:9" x14ac:dyDescent="0.25">
      <c r="A144" s="4" t="s">
        <v>56</v>
      </c>
      <c r="B144" s="5">
        <f t="shared" si="4"/>
        <v>45066</v>
      </c>
      <c r="C144" s="13" t="s">
        <v>155</v>
      </c>
      <c r="D144" t="s">
        <v>140</v>
      </c>
      <c r="E144" t="s">
        <v>142</v>
      </c>
      <c r="F144" t="s">
        <v>149</v>
      </c>
      <c r="G144">
        <v>1</v>
      </c>
      <c r="H144" s="10">
        <v>958</v>
      </c>
      <c r="I144" s="10">
        <v>3832</v>
      </c>
    </row>
    <row r="145" spans="1:9" x14ac:dyDescent="0.25">
      <c r="A145" s="4" t="s">
        <v>70</v>
      </c>
      <c r="B145" s="5">
        <f t="shared" si="4"/>
        <v>45049</v>
      </c>
      <c r="C145" s="13" t="s">
        <v>155</v>
      </c>
      <c r="D145" t="s">
        <v>138</v>
      </c>
      <c r="E145" t="s">
        <v>145</v>
      </c>
      <c r="F145" t="s">
        <v>147</v>
      </c>
      <c r="G145">
        <v>4</v>
      </c>
      <c r="H145" s="10">
        <v>1550</v>
      </c>
      <c r="I145" s="10">
        <v>6200</v>
      </c>
    </row>
    <row r="146" spans="1:9" x14ac:dyDescent="0.25">
      <c r="A146" s="4" t="s">
        <v>72</v>
      </c>
      <c r="B146" s="5">
        <f t="shared" si="4"/>
        <v>45053</v>
      </c>
      <c r="C146" s="13" t="s">
        <v>155</v>
      </c>
      <c r="D146" t="s">
        <v>141</v>
      </c>
      <c r="E146" t="s">
        <v>145</v>
      </c>
      <c r="F146" t="s">
        <v>147</v>
      </c>
      <c r="G146">
        <v>1</v>
      </c>
      <c r="H146" s="10">
        <v>1506</v>
      </c>
      <c r="I146" s="10">
        <v>1506</v>
      </c>
    </row>
    <row r="147" spans="1:9" x14ac:dyDescent="0.25">
      <c r="A147" s="4" t="s">
        <v>7</v>
      </c>
      <c r="B147" s="5">
        <f t="shared" si="4"/>
        <v>45054</v>
      </c>
      <c r="C147" s="13" t="s">
        <v>155</v>
      </c>
      <c r="D147" t="s">
        <v>140</v>
      </c>
      <c r="E147" t="s">
        <v>145</v>
      </c>
      <c r="F147" t="s">
        <v>146</v>
      </c>
      <c r="G147">
        <v>5</v>
      </c>
      <c r="H147" s="10">
        <v>1145</v>
      </c>
      <c r="I147" s="10">
        <v>5725</v>
      </c>
    </row>
    <row r="148" spans="1:9" x14ac:dyDescent="0.25">
      <c r="A148" s="4" t="s">
        <v>80</v>
      </c>
      <c r="B148" s="5">
        <f t="shared" si="4"/>
        <v>45051</v>
      </c>
      <c r="C148" s="13" t="s">
        <v>155</v>
      </c>
      <c r="D148" t="s">
        <v>139</v>
      </c>
      <c r="E148" t="s">
        <v>144</v>
      </c>
      <c r="F148" t="s">
        <v>148</v>
      </c>
      <c r="G148">
        <v>5</v>
      </c>
      <c r="H148" s="10">
        <v>736</v>
      </c>
      <c r="I148" s="10">
        <v>3680</v>
      </c>
    </row>
    <row r="149" spans="1:9" x14ac:dyDescent="0.25">
      <c r="A149" s="4" t="s">
        <v>85</v>
      </c>
      <c r="B149" s="5">
        <f t="shared" si="4"/>
        <v>45075</v>
      </c>
      <c r="C149" s="13" t="s">
        <v>155</v>
      </c>
      <c r="D149" t="s">
        <v>137</v>
      </c>
      <c r="E149" t="s">
        <v>142</v>
      </c>
      <c r="F149" t="s">
        <v>146</v>
      </c>
      <c r="G149">
        <v>3</v>
      </c>
      <c r="H149" s="10">
        <v>609</v>
      </c>
      <c r="I149" s="10">
        <v>1827</v>
      </c>
    </row>
    <row r="150" spans="1:9" x14ac:dyDescent="0.25">
      <c r="A150" s="4" t="s">
        <v>108</v>
      </c>
      <c r="B150" s="5">
        <f t="shared" si="4"/>
        <v>45077</v>
      </c>
      <c r="C150" s="13" t="s">
        <v>155</v>
      </c>
      <c r="D150" t="s">
        <v>139</v>
      </c>
      <c r="E150" t="s">
        <v>145</v>
      </c>
      <c r="F150" t="s">
        <v>149</v>
      </c>
      <c r="G150">
        <v>4</v>
      </c>
      <c r="H150" s="10">
        <v>2812</v>
      </c>
      <c r="I150" s="10">
        <v>11248</v>
      </c>
    </row>
    <row r="151" spans="1:9" x14ac:dyDescent="0.25">
      <c r="A151" s="4" t="s">
        <v>109</v>
      </c>
      <c r="B151" s="5">
        <f t="shared" si="4"/>
        <v>45068</v>
      </c>
      <c r="C151" s="13" t="s">
        <v>155</v>
      </c>
      <c r="D151" t="s">
        <v>138</v>
      </c>
      <c r="E151" t="s">
        <v>143</v>
      </c>
      <c r="F151" t="s">
        <v>147</v>
      </c>
      <c r="G151">
        <v>4</v>
      </c>
      <c r="H151" s="10">
        <v>718</v>
      </c>
      <c r="I151" s="10">
        <v>2872</v>
      </c>
    </row>
    <row r="152" spans="1:9" x14ac:dyDescent="0.25">
      <c r="A152" s="4" t="s">
        <v>171</v>
      </c>
      <c r="I152">
        <f>SUBTOTAL(109,Analiza_vanzari[Total vânzare (lei)])</f>
        <v>787118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B72B00-24FF-469D-BF1D-4F5745E126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Interpretari</vt:lpstr>
      <vt:lpstr>Vanzari lunare</vt:lpstr>
      <vt:lpstr>Vanzari per regiune</vt:lpstr>
      <vt:lpstr>Top 4 clienti</vt:lpstr>
      <vt:lpstr>Vanzari totale per produs</vt:lpstr>
      <vt:lpstr>Analiza vanzari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Alexandru Chis</dc:creator>
  <cp:lastModifiedBy>Adriana Nanestean</cp:lastModifiedBy>
  <dcterms:created xsi:type="dcterms:W3CDTF">2025-04-05T21:27:04Z</dcterms:created>
  <dcterms:modified xsi:type="dcterms:W3CDTF">2026-10-24T14:18:22Z</dcterms:modified>
</cp:coreProperties>
</file>